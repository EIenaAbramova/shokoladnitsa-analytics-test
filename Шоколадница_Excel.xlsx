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na\Desktop\ТЕСТОВЫЕ-МОЯ РАБОТА\ШОКОЛАДНИЦА\Решение\outputs\"/>
    </mc:Choice>
  </mc:AlternateContent>
  <xr:revisionPtr revIDLastSave="0" documentId="13_ncr:1_{3CAC73C5-A6F0-4797-9843-78729A7D09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орции" sheetId="1" r:id="rId1"/>
    <sheet name="ФИО" sheetId="2" r:id="rId2"/>
    <sheet name="Общий итог" sheetId="3" r:id="rId3"/>
  </sheets>
  <definedNames>
    <definedName name="_xlnm.Print_Area" localSheetId="2">'Общий итог'!$A$1:$N$21</definedName>
    <definedName name="_xlnm.Print_Area" localSheetId="0">Порции!$A$1:$I$21</definedName>
    <definedName name="_xlnm.Print_Area" localSheetId="1">ФИО!$A$1:$K$21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3" l="1"/>
  <c r="C9" i="3"/>
  <c r="G3" i="3"/>
  <c r="E21" i="2"/>
  <c r="D21" i="2"/>
  <c r="H21" i="2" s="1"/>
  <c r="E20" i="2"/>
  <c r="D20" i="2"/>
  <c r="E19" i="2"/>
  <c r="D19" i="2"/>
  <c r="H19" i="2" s="1"/>
  <c r="E18" i="2"/>
  <c r="D18" i="2"/>
  <c r="E17" i="2"/>
  <c r="D17" i="2"/>
  <c r="E16" i="2"/>
  <c r="D16" i="2"/>
  <c r="E15" i="2"/>
  <c r="D15" i="2"/>
  <c r="E14" i="2"/>
  <c r="D14" i="2"/>
  <c r="H14" i="2" s="1"/>
  <c r="E13" i="2"/>
  <c r="D13" i="2"/>
  <c r="H13" i="2" s="1"/>
  <c r="E12" i="2"/>
  <c r="D12" i="2"/>
  <c r="E11" i="2"/>
  <c r="D11" i="2"/>
  <c r="H11" i="2" s="1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H3" i="2" s="1"/>
  <c r="E2" i="2"/>
  <c r="D2" i="2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I14" i="1" s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I8" i="1" s="1"/>
  <c r="H7" i="1"/>
  <c r="G7" i="1"/>
  <c r="F7" i="1"/>
  <c r="H6" i="1"/>
  <c r="G6" i="1"/>
  <c r="F6" i="1"/>
  <c r="I6" i="1" s="1"/>
  <c r="H17" i="2" l="1"/>
  <c r="I13" i="1"/>
  <c r="H10" i="2"/>
  <c r="H16" i="2"/>
  <c r="H18" i="2"/>
  <c r="H4" i="2"/>
  <c r="H12" i="2"/>
  <c r="H20" i="2"/>
  <c r="I19" i="1"/>
  <c r="H2" i="2"/>
  <c r="I10" i="1"/>
  <c r="I16" i="1"/>
  <c r="I11" i="1"/>
  <c r="H5" i="2"/>
  <c r="I18" i="1"/>
  <c r="H7" i="2"/>
  <c r="H15" i="2"/>
  <c r="I15" i="1"/>
  <c r="H9" i="2"/>
  <c r="H20" i="1"/>
  <c r="I7" i="1"/>
  <c r="I12" i="1"/>
  <c r="I17" i="1"/>
  <c r="H6" i="2"/>
  <c r="I9" i="1"/>
  <c r="G20" i="1"/>
  <c r="H8" i="2"/>
  <c r="F20" i="1"/>
  <c r="I20" i="1" l="1"/>
</calcChain>
</file>

<file path=xl/sharedStrings.xml><?xml version="1.0" encoding="utf-8"?>
<sst xmlns="http://schemas.openxmlformats.org/spreadsheetml/2006/main" count="113" uniqueCount="58">
  <si>
    <t>Кафе</t>
  </si>
  <si>
    <t>Кол-во порций</t>
  </si>
  <si>
    <t>День недели</t>
  </si>
  <si>
    <t>Кафе1</t>
  </si>
  <si>
    <t>пн</t>
  </si>
  <si>
    <t>Порции по кофейням</t>
  </si>
  <si>
    <t>вт</t>
  </si>
  <si>
    <t>Только понедельник, вторник и среда</t>
  </si>
  <si>
    <t>ср</t>
  </si>
  <si>
    <t>Кафе4</t>
  </si>
  <si>
    <t>чт</t>
  </si>
  <si>
    <t>Итого</t>
  </si>
  <si>
    <t>Кафе5</t>
  </si>
  <si>
    <t>пт</t>
  </si>
  <si>
    <t>Кафе6</t>
  </si>
  <si>
    <t>сб</t>
  </si>
  <si>
    <t>Кафе7</t>
  </si>
  <si>
    <t>вс</t>
  </si>
  <si>
    <t>Кафе8</t>
  </si>
  <si>
    <t>Кафе9</t>
  </si>
  <si>
    <t>Кафе10</t>
  </si>
  <si>
    <t>Кафе14</t>
  </si>
  <si>
    <t>Кафе15</t>
  </si>
  <si>
    <t>Кафе16</t>
  </si>
  <si>
    <t>Кафе17</t>
  </si>
  <si>
    <t>Кафе18</t>
  </si>
  <si>
    <t>Кафе19</t>
  </si>
  <si>
    <t>ФИО</t>
  </si>
  <si>
    <t>ФИ</t>
  </si>
  <si>
    <t>О</t>
  </si>
  <si>
    <t>Фамилия И.О.</t>
  </si>
  <si>
    <t>Фамилия Имя Отчество1</t>
  </si>
  <si>
    <t>1. Разделить ФИО на «ФИ» и «О».</t>
  </si>
  <si>
    <t>Фамилия Имя Отчество2</t>
  </si>
  <si>
    <t>2. Получить формат «Фамилия И.О.».</t>
  </si>
  <si>
    <t>Фамилия Имя Отчество3</t>
  </si>
  <si>
    <t>Фамилия Имя Отчество4</t>
  </si>
  <si>
    <t>Фамилия Имя Отчество5</t>
  </si>
  <si>
    <t>Фамилия Имя Отчество6</t>
  </si>
  <si>
    <t>Фамилия Имя Отчество7</t>
  </si>
  <si>
    <t>Фамилия Имя Отчество8</t>
  </si>
  <si>
    <t>Фамилия Имя Отчество9</t>
  </si>
  <si>
    <t>Фамилия Имя Отчество10</t>
  </si>
  <si>
    <t>Фамилия Имя Отчество11</t>
  </si>
  <si>
    <t>Фамилия Имя Отчество12</t>
  </si>
  <si>
    <t>Фамилия Имя Отчество13</t>
  </si>
  <si>
    <t>Фамилия Имя Отчество14</t>
  </si>
  <si>
    <t>Фамилия Имя Отчество15</t>
  </si>
  <si>
    <t>Фамилия Имя Отчество16</t>
  </si>
  <si>
    <t>Фамилия Имя Отчество17</t>
  </si>
  <si>
    <t>Фамилия Имя Отчество18</t>
  </si>
  <si>
    <t>Фамилия Имя Отчество19</t>
  </si>
  <si>
    <t>Фамилия Имя Отчество20</t>
  </si>
  <si>
    <t>Строка</t>
  </si>
  <si>
    <t>Всего порций</t>
  </si>
  <si>
    <t>Добавляйте записи внутри таблицы или через Tab в её последней ячейке. Для деталей заполняйте «Кафе». Строки «Сумма Итог» оставляйте без кафе.</t>
  </si>
  <si>
    <t>Сумма Итог</t>
  </si>
  <si>
    <t>Кафе2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</si>
</sst>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302820"/>
      <name val="Arial"/>
    </font>
    <font>
      <b/>
      <sz val="11"/>
      <color rgb="FFFFFFFF"/>
      <name val="Arial"/>
    </font>
    <font>
      <b/>
      <sz val="16"/>
      <color rgb="FF543728"/>
      <name val="Arial"/>
    </font>
    <font>
      <i/>
      <sz val="11"/>
      <color rgb="FF302820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43728"/>
      </patternFill>
    </fill>
    <fill>
      <patternFill patternType="solid">
        <fgColor rgb="FFF3E9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 wrapText="1"/>
    </xf>
    <xf numFmtId="0" fontId="3" fillId="0" borderId="0" xfId="1" applyFont="1"/>
    <xf numFmtId="0" fontId="1" fillId="3" borderId="0" xfId="1" applyFont="1" applyFill="1" applyAlignment="1">
      <alignment vertical="center"/>
    </xf>
    <xf numFmtId="3" fontId="1" fillId="0" borderId="0" xfId="1" applyNumberFormat="1" applyFont="1" applyAlignment="1">
      <alignment vertical="center"/>
    </xf>
    <xf numFmtId="3" fontId="1" fillId="3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3" fontId="3" fillId="0" borderId="0" xfId="1" applyNumberFormat="1" applyFont="1" applyAlignment="1">
      <alignment vertical="center"/>
    </xf>
    <xf numFmtId="0" fontId="4" fillId="0" borderId="0" xfId="1" applyFont="1"/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tions" displayName="Portions" ref="A1:C21" totalsRowShown="0">
  <tableColumns count="3">
    <tableColumn id="1" xr3:uid="{00000000-0010-0000-0000-000001000000}" name="Строка"/>
    <tableColumn id="2" xr3:uid="{00000000-0010-0000-0000-000002000000}" name="Кафе"/>
    <tableColumn id="3" xr3:uid="{00000000-0010-0000-0000-000003000000}" name="Кол-во порц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showGridLines="0" tabSelected="1" workbookViewId="0"/>
  </sheetViews>
  <sheetFormatPr defaultRowHeight="14.25"/>
  <cols>
    <col min="1" max="3" width="18" customWidth="1"/>
    <col min="5" max="9" width="16" customWidth="1"/>
  </cols>
  <sheetData>
    <row r="1" spans="1:11" ht="48" customHeight="1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</row>
    <row r="2" spans="1:11" ht="32.1" customHeight="1">
      <c r="A2" s="1" t="s">
        <v>3</v>
      </c>
      <c r="B2" s="1">
        <v>50</v>
      </c>
      <c r="C2" s="1" t="s">
        <v>4</v>
      </c>
      <c r="D2" s="1"/>
      <c r="E2" s="3" t="s">
        <v>5</v>
      </c>
    </row>
    <row r="3" spans="1:11" ht="23.1" customHeight="1">
      <c r="A3" s="1" t="s">
        <v>3</v>
      </c>
      <c r="B3" s="1">
        <v>127</v>
      </c>
      <c r="C3" s="1" t="s">
        <v>6</v>
      </c>
      <c r="D3" s="1"/>
      <c r="E3" s="9" t="s">
        <v>7</v>
      </c>
      <c r="F3" s="9"/>
      <c r="G3" s="9"/>
      <c r="H3" s="9"/>
      <c r="I3" s="9"/>
      <c r="J3" s="9"/>
      <c r="K3" s="9"/>
    </row>
    <row r="4" spans="1:11" ht="23.1" customHeight="1">
      <c r="A4" s="1" t="s">
        <v>3</v>
      </c>
      <c r="B4" s="1">
        <v>204</v>
      </c>
      <c r="C4" s="1" t="s">
        <v>8</v>
      </c>
      <c r="D4" s="1"/>
    </row>
    <row r="5" spans="1:11" ht="48" customHeight="1">
      <c r="A5" s="1" t="s">
        <v>9</v>
      </c>
      <c r="B5" s="1">
        <v>281</v>
      </c>
      <c r="C5" s="1" t="s">
        <v>10</v>
      </c>
      <c r="D5" s="1"/>
      <c r="E5" s="2" t="s">
        <v>0</v>
      </c>
      <c r="F5" s="2" t="s">
        <v>4</v>
      </c>
      <c r="G5" s="2" t="s">
        <v>6</v>
      </c>
      <c r="H5" s="2" t="s">
        <v>8</v>
      </c>
      <c r="I5" s="2" t="s">
        <v>11</v>
      </c>
    </row>
    <row r="6" spans="1:11" ht="23.1" customHeight="1">
      <c r="A6" s="1" t="s">
        <v>12</v>
      </c>
      <c r="B6" s="1">
        <v>358</v>
      </c>
      <c r="C6" s="1" t="s">
        <v>13</v>
      </c>
      <c r="D6" s="1"/>
      <c r="E6" s="1" t="s">
        <v>3</v>
      </c>
      <c r="F6" s="5">
        <f t="shared" ref="F6:H19" si="0">SUMIFS($B$2:$B$20,$A$2:$A$20,$E6,$C$2:$C$20,F$5)</f>
        <v>50</v>
      </c>
      <c r="G6" s="5">
        <f t="shared" si="0"/>
        <v>127</v>
      </c>
      <c r="H6" s="5">
        <f t="shared" si="0"/>
        <v>204</v>
      </c>
      <c r="I6" s="5">
        <f t="shared" ref="I6:I19" si="1">SUM(F6:H6)</f>
        <v>381</v>
      </c>
      <c r="J6" s="1"/>
      <c r="K6" s="1"/>
    </row>
    <row r="7" spans="1:11" ht="23.1" customHeight="1">
      <c r="A7" s="1" t="s">
        <v>14</v>
      </c>
      <c r="B7" s="1">
        <v>435</v>
      </c>
      <c r="C7" s="1" t="s">
        <v>15</v>
      </c>
      <c r="D7" s="1"/>
      <c r="E7" s="1" t="s">
        <v>9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 t="shared" si="1"/>
        <v>0</v>
      </c>
      <c r="J7" s="1"/>
      <c r="K7" s="1"/>
    </row>
    <row r="8" spans="1:11" ht="23.1" customHeight="1">
      <c r="A8" s="1" t="s">
        <v>16</v>
      </c>
      <c r="B8" s="1">
        <v>512</v>
      </c>
      <c r="C8" s="1" t="s">
        <v>17</v>
      </c>
      <c r="D8" s="1"/>
      <c r="E8" s="1" t="s">
        <v>12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1"/>
        <v>0</v>
      </c>
      <c r="J8" s="1"/>
      <c r="K8" s="1"/>
    </row>
    <row r="9" spans="1:11" ht="23.1" customHeight="1">
      <c r="A9" s="1" t="s">
        <v>18</v>
      </c>
      <c r="B9" s="1">
        <v>589</v>
      </c>
      <c r="C9" s="1" t="s">
        <v>4</v>
      </c>
      <c r="D9" s="1"/>
      <c r="E9" s="1" t="s">
        <v>14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1"/>
        <v>0</v>
      </c>
      <c r="J9" s="1"/>
      <c r="K9" s="1"/>
    </row>
    <row r="10" spans="1:11" ht="23.1" customHeight="1">
      <c r="A10" s="1" t="s">
        <v>19</v>
      </c>
      <c r="B10" s="1">
        <v>666</v>
      </c>
      <c r="C10" s="1" t="s">
        <v>6</v>
      </c>
      <c r="D10" s="1"/>
      <c r="E10" s="1" t="s">
        <v>16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 t="shared" si="1"/>
        <v>0</v>
      </c>
      <c r="J10" s="1"/>
      <c r="K10" s="1"/>
    </row>
    <row r="11" spans="1:11" ht="23.1" customHeight="1">
      <c r="A11" s="1" t="s">
        <v>20</v>
      </c>
      <c r="B11" s="1">
        <v>743</v>
      </c>
      <c r="C11" s="1" t="s">
        <v>8</v>
      </c>
      <c r="D11" s="1"/>
      <c r="E11" s="1" t="s">
        <v>18</v>
      </c>
      <c r="F11" s="5">
        <f t="shared" si="0"/>
        <v>589</v>
      </c>
      <c r="G11" s="5">
        <f t="shared" si="0"/>
        <v>0</v>
      </c>
      <c r="H11" s="5">
        <f t="shared" si="0"/>
        <v>0</v>
      </c>
      <c r="I11" s="5">
        <f t="shared" si="1"/>
        <v>589</v>
      </c>
      <c r="J11" s="1"/>
      <c r="K11" s="1"/>
    </row>
    <row r="12" spans="1:11" ht="23.1" customHeight="1">
      <c r="A12" s="1" t="s">
        <v>9</v>
      </c>
      <c r="B12" s="1">
        <v>820</v>
      </c>
      <c r="C12" s="1" t="s">
        <v>10</v>
      </c>
      <c r="D12" s="1"/>
      <c r="E12" s="1" t="s">
        <v>19</v>
      </c>
      <c r="F12" s="5">
        <f t="shared" si="0"/>
        <v>0</v>
      </c>
      <c r="G12" s="5">
        <f t="shared" si="0"/>
        <v>666</v>
      </c>
      <c r="H12" s="5">
        <f t="shared" si="0"/>
        <v>0</v>
      </c>
      <c r="I12" s="5">
        <f t="shared" si="1"/>
        <v>666</v>
      </c>
      <c r="J12" s="1"/>
      <c r="K12" s="1"/>
    </row>
    <row r="13" spans="1:11" ht="23.1" customHeight="1">
      <c r="A13" s="1" t="s">
        <v>9</v>
      </c>
      <c r="B13" s="1">
        <v>897</v>
      </c>
      <c r="C13" s="1" t="s">
        <v>13</v>
      </c>
      <c r="D13" s="1"/>
      <c r="E13" s="1" t="s">
        <v>20</v>
      </c>
      <c r="F13" s="5">
        <f t="shared" si="0"/>
        <v>0</v>
      </c>
      <c r="G13" s="5">
        <f t="shared" si="0"/>
        <v>0</v>
      </c>
      <c r="H13" s="5">
        <f t="shared" si="0"/>
        <v>743</v>
      </c>
      <c r="I13" s="5">
        <f t="shared" si="1"/>
        <v>743</v>
      </c>
      <c r="J13" s="1"/>
      <c r="K13" s="1"/>
    </row>
    <row r="14" spans="1:11" ht="23.1" customHeight="1">
      <c r="A14" s="1" t="s">
        <v>9</v>
      </c>
      <c r="B14" s="1">
        <v>974</v>
      </c>
      <c r="C14" s="1" t="s">
        <v>15</v>
      </c>
      <c r="D14" s="1"/>
      <c r="E14" s="1" t="s">
        <v>21</v>
      </c>
      <c r="F14" s="5">
        <f t="shared" si="0"/>
        <v>0</v>
      </c>
      <c r="G14" s="5">
        <f t="shared" si="0"/>
        <v>0</v>
      </c>
      <c r="H14" s="5">
        <f t="shared" si="0"/>
        <v>0</v>
      </c>
      <c r="I14" s="5">
        <f t="shared" si="1"/>
        <v>0</v>
      </c>
      <c r="J14" s="1"/>
      <c r="K14" s="1"/>
    </row>
    <row r="15" spans="1:11" ht="23.1" customHeight="1">
      <c r="A15" s="1" t="s">
        <v>21</v>
      </c>
      <c r="B15" s="1">
        <v>1051</v>
      </c>
      <c r="C15" s="1" t="s">
        <v>17</v>
      </c>
      <c r="D15" s="1"/>
      <c r="E15" s="1" t="s">
        <v>22</v>
      </c>
      <c r="F15" s="5">
        <f t="shared" si="0"/>
        <v>1128</v>
      </c>
      <c r="G15" s="5">
        <f t="shared" si="0"/>
        <v>0</v>
      </c>
      <c r="H15" s="5">
        <f t="shared" si="0"/>
        <v>0</v>
      </c>
      <c r="I15" s="5">
        <f t="shared" si="1"/>
        <v>1128</v>
      </c>
      <c r="J15" s="1"/>
      <c r="K15" s="1"/>
    </row>
    <row r="16" spans="1:11" ht="23.1" customHeight="1">
      <c r="A16" s="1" t="s">
        <v>22</v>
      </c>
      <c r="B16" s="1">
        <v>1128</v>
      </c>
      <c r="C16" s="1" t="s">
        <v>4</v>
      </c>
      <c r="D16" s="1"/>
      <c r="E16" s="1" t="s">
        <v>23</v>
      </c>
      <c r="F16" s="5">
        <f t="shared" si="0"/>
        <v>0</v>
      </c>
      <c r="G16" s="5">
        <f t="shared" si="0"/>
        <v>1205</v>
      </c>
      <c r="H16" s="5">
        <f t="shared" si="0"/>
        <v>0</v>
      </c>
      <c r="I16" s="5">
        <f t="shared" si="1"/>
        <v>1205</v>
      </c>
      <c r="J16" s="1"/>
      <c r="K16" s="1"/>
    </row>
    <row r="17" spans="1:11" ht="23.1" customHeight="1">
      <c r="A17" s="1" t="s">
        <v>23</v>
      </c>
      <c r="B17" s="1">
        <v>1205</v>
      </c>
      <c r="C17" s="1" t="s">
        <v>6</v>
      </c>
      <c r="D17" s="1"/>
      <c r="E17" s="1" t="s">
        <v>24</v>
      </c>
      <c r="F17" s="5">
        <f t="shared" si="0"/>
        <v>0</v>
      </c>
      <c r="G17" s="5">
        <f t="shared" si="0"/>
        <v>0</v>
      </c>
      <c r="H17" s="5">
        <f t="shared" si="0"/>
        <v>1282</v>
      </c>
      <c r="I17" s="5">
        <f t="shared" si="1"/>
        <v>1282</v>
      </c>
      <c r="J17" s="1"/>
      <c r="K17" s="1"/>
    </row>
    <row r="18" spans="1:11" ht="23.1" customHeight="1">
      <c r="A18" s="1" t="s">
        <v>24</v>
      </c>
      <c r="B18" s="1">
        <v>1282</v>
      </c>
      <c r="C18" s="1" t="s">
        <v>8</v>
      </c>
      <c r="D18" s="1"/>
      <c r="E18" s="1" t="s">
        <v>25</v>
      </c>
      <c r="F18" s="5">
        <f t="shared" si="0"/>
        <v>0</v>
      </c>
      <c r="G18" s="5">
        <f t="shared" si="0"/>
        <v>0</v>
      </c>
      <c r="H18" s="5">
        <f t="shared" si="0"/>
        <v>0</v>
      </c>
      <c r="I18" s="5">
        <f t="shared" si="1"/>
        <v>0</v>
      </c>
      <c r="J18" s="1"/>
      <c r="K18" s="1"/>
    </row>
    <row r="19" spans="1:11" ht="23.1" customHeight="1">
      <c r="A19" s="1" t="s">
        <v>25</v>
      </c>
      <c r="B19" s="1">
        <v>1359</v>
      </c>
      <c r="C19" s="1" t="s">
        <v>10</v>
      </c>
      <c r="D19" s="1"/>
      <c r="E19" s="1" t="s">
        <v>26</v>
      </c>
      <c r="F19" s="5">
        <f t="shared" si="0"/>
        <v>0</v>
      </c>
      <c r="G19" s="5">
        <f t="shared" si="0"/>
        <v>0</v>
      </c>
      <c r="H19" s="5">
        <f t="shared" si="0"/>
        <v>0</v>
      </c>
      <c r="I19" s="5">
        <f t="shared" si="1"/>
        <v>0</v>
      </c>
      <c r="J19" s="1"/>
      <c r="K19" s="1"/>
    </row>
    <row r="20" spans="1:11" ht="23.1" customHeight="1">
      <c r="A20" s="1" t="s">
        <v>26</v>
      </c>
      <c r="B20" s="1">
        <v>1436</v>
      </c>
      <c r="C20" s="1" t="s">
        <v>13</v>
      </c>
      <c r="D20" s="1"/>
      <c r="E20" s="4" t="s">
        <v>11</v>
      </c>
      <c r="F20" s="6">
        <f>SUM(F6:F19)</f>
        <v>1767</v>
      </c>
      <c r="G20" s="6">
        <f>SUM(G6:G19)</f>
        <v>1998</v>
      </c>
      <c r="H20" s="6">
        <f>SUM(H6:H19)</f>
        <v>2229</v>
      </c>
      <c r="I20" s="6">
        <f>SUM(I6:I19)</f>
        <v>5994</v>
      </c>
      <c r="J20" s="1"/>
      <c r="K20" s="1"/>
    </row>
    <row r="21" spans="1:11" ht="23.1" customHeight="1">
      <c r="A21" s="1"/>
      <c r="B21" s="1"/>
      <c r="C21" s="1"/>
      <c r="D21" s="1"/>
      <c r="E21" s="1"/>
      <c r="F21" s="5"/>
      <c r="G21" s="5"/>
      <c r="H21" s="5"/>
      <c r="I21" s="5"/>
      <c r="J21" s="1"/>
      <c r="K21" s="1"/>
    </row>
    <row r="22" spans="1:11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3.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3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mergeCells count="1">
    <mergeCell ref="E3:K3"/>
  </mergeCells>
  <pageMargins left="0.7" right="0.7" top="0.75" bottom="0.75" header="0.3" footer="0.3"/>
  <pageSetup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3"/>
  <sheetViews>
    <sheetView showGridLines="0" workbookViewId="0"/>
  </sheetViews>
  <sheetFormatPr defaultRowHeight="14.25"/>
  <cols>
    <col min="1" max="1" width="34" customWidth="1"/>
    <col min="4" max="4" width="27" customWidth="1"/>
    <col min="5" max="5" width="22" customWidth="1"/>
    <col min="8" max="8" width="27" customWidth="1"/>
    <col min="11" max="11" width="55" customWidth="1"/>
  </cols>
  <sheetData>
    <row r="1" spans="1:11" ht="48" customHeight="1">
      <c r="A1" s="2" t="s">
        <v>27</v>
      </c>
      <c r="B1" s="1"/>
      <c r="C1" s="1"/>
      <c r="D1" s="2" t="s">
        <v>28</v>
      </c>
      <c r="E1" s="2" t="s">
        <v>29</v>
      </c>
      <c r="F1" s="1"/>
      <c r="G1" s="1"/>
      <c r="H1" s="2" t="s">
        <v>30</v>
      </c>
      <c r="I1" s="1"/>
      <c r="J1" s="1"/>
      <c r="K1" s="7"/>
    </row>
    <row r="2" spans="1:11" ht="65.099999999999994" customHeight="1">
      <c r="A2" s="1" t="s">
        <v>31</v>
      </c>
      <c r="B2" s="1"/>
      <c r="C2" s="1"/>
      <c r="D2" s="1" t="str">
        <f t="shared" ref="D2:D21" si="0">LEFT(TRIM(SUBSTITUTE(A2,CHAR(160)," ")),FIND(" ",TRIM(SUBSTITUTE(A2,CHAR(160)," ")),FIND(" ",TRIM(SUBSTITUTE(A2,CHAR(160)," ")))+1)-1)</f>
        <v>Фамилия Имя</v>
      </c>
      <c r="E2" s="1" t="str">
        <f t="shared" ref="E2:E21" si="1">MID(TRIM(SUBSTITUTE(A2,CHAR(160)," ")),FIND(" ",TRIM(SUBSTITUTE(A2,CHAR(160)," ")),FIND(" ",TRIM(SUBSTITUTE(A2,CHAR(160)," ")))+1)+1,999)</f>
        <v>Отчество1</v>
      </c>
      <c r="F2" s="1"/>
      <c r="G2" s="1"/>
      <c r="H2" s="1" t="str">
        <f t="shared" ref="H2:H21" si="2">LEFT(D2,FIND(" ",D2)-1)&amp;" "&amp;MID(D2,FIND(" ",D2)+1,1)&amp;"."&amp;LEFT(E2,1)&amp;"."</f>
        <v>Фамилия И.О.</v>
      </c>
      <c r="I2" s="1"/>
      <c r="J2" s="1"/>
      <c r="K2" s="7" t="s">
        <v>32</v>
      </c>
    </row>
    <row r="3" spans="1:11" ht="65.099999999999994" customHeight="1">
      <c r="A3" s="1" t="s">
        <v>33</v>
      </c>
      <c r="B3" s="1"/>
      <c r="C3" s="1"/>
      <c r="D3" s="1" t="str">
        <f t="shared" si="0"/>
        <v>Фамилия Имя</v>
      </c>
      <c r="E3" s="1" t="str">
        <f t="shared" si="1"/>
        <v>Отчество2</v>
      </c>
      <c r="F3" s="1"/>
      <c r="G3" s="1"/>
      <c r="H3" s="1" t="str">
        <f t="shared" si="2"/>
        <v>Фамилия И.О.</v>
      </c>
      <c r="I3" s="1"/>
      <c r="J3" s="1"/>
      <c r="K3" s="7" t="s">
        <v>34</v>
      </c>
    </row>
    <row r="4" spans="1:11" ht="23.1" customHeight="1">
      <c r="A4" s="1" t="s">
        <v>35</v>
      </c>
      <c r="B4" s="1"/>
      <c r="C4" s="1"/>
      <c r="D4" s="1" t="str">
        <f t="shared" si="0"/>
        <v>Фамилия Имя</v>
      </c>
      <c r="E4" s="1" t="str">
        <f t="shared" si="1"/>
        <v>Отчество3</v>
      </c>
      <c r="F4" s="1"/>
      <c r="G4" s="1"/>
      <c r="H4" s="1" t="str">
        <f t="shared" si="2"/>
        <v>Фамилия И.О.</v>
      </c>
      <c r="I4" s="1"/>
      <c r="J4" s="1"/>
      <c r="K4" s="7"/>
    </row>
    <row r="5" spans="1:11" ht="23.1" customHeight="1">
      <c r="A5" s="1" t="s">
        <v>36</v>
      </c>
      <c r="B5" s="1"/>
      <c r="C5" s="1"/>
      <c r="D5" s="1" t="str">
        <f t="shared" si="0"/>
        <v>Фамилия Имя</v>
      </c>
      <c r="E5" s="1" t="str">
        <f t="shared" si="1"/>
        <v>Отчество4</v>
      </c>
      <c r="F5" s="1"/>
      <c r="G5" s="1"/>
      <c r="H5" s="1" t="str">
        <f t="shared" si="2"/>
        <v>Фамилия И.О.</v>
      </c>
      <c r="I5" s="1"/>
      <c r="J5" s="1"/>
      <c r="K5" s="7"/>
    </row>
    <row r="6" spans="1:11" ht="23.1" customHeight="1">
      <c r="A6" s="1" t="s">
        <v>37</v>
      </c>
      <c r="B6" s="1"/>
      <c r="C6" s="1"/>
      <c r="D6" s="1" t="str">
        <f t="shared" si="0"/>
        <v>Фамилия Имя</v>
      </c>
      <c r="E6" s="1" t="str">
        <f t="shared" si="1"/>
        <v>Отчество5</v>
      </c>
      <c r="F6" s="1"/>
      <c r="G6" s="1"/>
      <c r="H6" s="1" t="str">
        <f t="shared" si="2"/>
        <v>Фамилия И.О.</v>
      </c>
      <c r="I6" s="1"/>
      <c r="J6" s="1"/>
      <c r="K6" s="1"/>
    </row>
    <row r="7" spans="1:11" ht="23.1" customHeight="1">
      <c r="A7" s="1" t="s">
        <v>38</v>
      </c>
      <c r="B7" s="1"/>
      <c r="C7" s="1"/>
      <c r="D7" s="1" t="str">
        <f t="shared" si="0"/>
        <v>Фамилия Имя</v>
      </c>
      <c r="E7" s="1" t="str">
        <f t="shared" si="1"/>
        <v>Отчество6</v>
      </c>
      <c r="F7" s="1"/>
      <c r="G7" s="1"/>
      <c r="H7" s="1" t="str">
        <f t="shared" si="2"/>
        <v>Фамилия И.О.</v>
      </c>
      <c r="I7" s="1"/>
      <c r="J7" s="1"/>
      <c r="K7" s="1"/>
    </row>
    <row r="8" spans="1:11" ht="23.1" customHeight="1">
      <c r="A8" s="1" t="s">
        <v>39</v>
      </c>
      <c r="B8" s="1"/>
      <c r="C8" s="1"/>
      <c r="D8" s="1" t="str">
        <f t="shared" si="0"/>
        <v>Фамилия Имя</v>
      </c>
      <c r="E8" s="1" t="str">
        <f t="shared" si="1"/>
        <v>Отчество7</v>
      </c>
      <c r="F8" s="1"/>
      <c r="G8" s="1"/>
      <c r="H8" s="1" t="str">
        <f t="shared" si="2"/>
        <v>Фамилия И.О.</v>
      </c>
      <c r="I8" s="1"/>
      <c r="J8" s="1"/>
      <c r="K8" s="1"/>
    </row>
    <row r="9" spans="1:11" ht="23.1" customHeight="1">
      <c r="A9" s="1" t="s">
        <v>40</v>
      </c>
      <c r="B9" s="1"/>
      <c r="C9" s="1"/>
      <c r="D9" s="1" t="str">
        <f t="shared" si="0"/>
        <v>Фамилия Имя</v>
      </c>
      <c r="E9" s="1" t="str">
        <f t="shared" si="1"/>
        <v>Отчество8</v>
      </c>
      <c r="F9" s="1"/>
      <c r="G9" s="1"/>
      <c r="H9" s="1" t="str">
        <f t="shared" si="2"/>
        <v>Фамилия И.О.</v>
      </c>
      <c r="I9" s="1"/>
      <c r="J9" s="1"/>
      <c r="K9" s="1"/>
    </row>
    <row r="10" spans="1:11" ht="23.1" customHeight="1">
      <c r="A10" s="1" t="s">
        <v>41</v>
      </c>
      <c r="B10" s="1"/>
      <c r="C10" s="1"/>
      <c r="D10" s="1" t="str">
        <f t="shared" si="0"/>
        <v>Фамилия Имя</v>
      </c>
      <c r="E10" s="1" t="str">
        <f t="shared" si="1"/>
        <v>Отчество9</v>
      </c>
      <c r="F10" s="1"/>
      <c r="G10" s="1"/>
      <c r="H10" s="1" t="str">
        <f t="shared" si="2"/>
        <v>Фамилия И.О.</v>
      </c>
      <c r="I10" s="1"/>
      <c r="J10" s="1"/>
      <c r="K10" s="1"/>
    </row>
    <row r="11" spans="1:11" ht="23.1" customHeight="1">
      <c r="A11" s="1" t="s">
        <v>42</v>
      </c>
      <c r="B11" s="1"/>
      <c r="C11" s="1"/>
      <c r="D11" s="1" t="str">
        <f t="shared" si="0"/>
        <v>Фамилия Имя</v>
      </c>
      <c r="E11" s="1" t="str">
        <f t="shared" si="1"/>
        <v>Отчество10</v>
      </c>
      <c r="F11" s="1"/>
      <c r="G11" s="1"/>
      <c r="H11" s="1" t="str">
        <f t="shared" si="2"/>
        <v>Фамилия И.О.</v>
      </c>
      <c r="I11" s="1"/>
      <c r="J11" s="1"/>
      <c r="K11" s="1"/>
    </row>
    <row r="12" spans="1:11" ht="23.1" customHeight="1">
      <c r="A12" s="1" t="s">
        <v>43</v>
      </c>
      <c r="B12" s="1"/>
      <c r="C12" s="1"/>
      <c r="D12" s="1" t="str">
        <f t="shared" si="0"/>
        <v>Фамилия Имя</v>
      </c>
      <c r="E12" s="1" t="str">
        <f t="shared" si="1"/>
        <v>Отчество11</v>
      </c>
      <c r="F12" s="1"/>
      <c r="G12" s="1"/>
      <c r="H12" s="1" t="str">
        <f t="shared" si="2"/>
        <v>Фамилия И.О.</v>
      </c>
      <c r="I12" s="1"/>
      <c r="J12" s="1"/>
      <c r="K12" s="1"/>
    </row>
    <row r="13" spans="1:11" ht="23.1" customHeight="1">
      <c r="A13" s="1" t="s">
        <v>44</v>
      </c>
      <c r="B13" s="1"/>
      <c r="C13" s="1"/>
      <c r="D13" s="1" t="str">
        <f t="shared" si="0"/>
        <v>Фамилия Имя</v>
      </c>
      <c r="E13" s="1" t="str">
        <f t="shared" si="1"/>
        <v>Отчество12</v>
      </c>
      <c r="F13" s="1"/>
      <c r="G13" s="1"/>
      <c r="H13" s="1" t="str">
        <f t="shared" si="2"/>
        <v>Фамилия И.О.</v>
      </c>
      <c r="I13" s="1"/>
      <c r="J13" s="1"/>
      <c r="K13" s="1"/>
    </row>
    <row r="14" spans="1:11" ht="23.1" customHeight="1">
      <c r="A14" s="1" t="s">
        <v>45</v>
      </c>
      <c r="B14" s="1"/>
      <c r="C14" s="1"/>
      <c r="D14" s="1" t="str">
        <f t="shared" si="0"/>
        <v>Фамилия Имя</v>
      </c>
      <c r="E14" s="1" t="str">
        <f t="shared" si="1"/>
        <v>Отчество13</v>
      </c>
      <c r="F14" s="1"/>
      <c r="G14" s="1"/>
      <c r="H14" s="1" t="str">
        <f t="shared" si="2"/>
        <v>Фамилия И.О.</v>
      </c>
      <c r="I14" s="1"/>
      <c r="J14" s="1"/>
      <c r="K14" s="1"/>
    </row>
    <row r="15" spans="1:11" ht="23.1" customHeight="1">
      <c r="A15" s="1" t="s">
        <v>46</v>
      </c>
      <c r="B15" s="1"/>
      <c r="C15" s="1"/>
      <c r="D15" s="1" t="str">
        <f t="shared" si="0"/>
        <v>Фамилия Имя</v>
      </c>
      <c r="E15" s="1" t="str">
        <f t="shared" si="1"/>
        <v>Отчество14</v>
      </c>
      <c r="F15" s="1"/>
      <c r="G15" s="1"/>
      <c r="H15" s="1" t="str">
        <f t="shared" si="2"/>
        <v>Фамилия И.О.</v>
      </c>
      <c r="I15" s="1"/>
      <c r="J15" s="1"/>
      <c r="K15" s="1"/>
    </row>
    <row r="16" spans="1:11" ht="23.1" customHeight="1">
      <c r="A16" s="1" t="s">
        <v>47</v>
      </c>
      <c r="B16" s="1"/>
      <c r="C16" s="1"/>
      <c r="D16" s="1" t="str">
        <f t="shared" si="0"/>
        <v>Фамилия Имя</v>
      </c>
      <c r="E16" s="1" t="str">
        <f t="shared" si="1"/>
        <v>Отчество15</v>
      </c>
      <c r="F16" s="1"/>
      <c r="G16" s="1"/>
      <c r="H16" s="1" t="str">
        <f t="shared" si="2"/>
        <v>Фамилия И.О.</v>
      </c>
      <c r="I16" s="1"/>
      <c r="J16" s="1"/>
      <c r="K16" s="1"/>
    </row>
    <row r="17" spans="1:11" ht="23.1" customHeight="1">
      <c r="A17" s="1" t="s">
        <v>48</v>
      </c>
      <c r="B17" s="1"/>
      <c r="C17" s="1"/>
      <c r="D17" s="1" t="str">
        <f t="shared" si="0"/>
        <v>Фамилия Имя</v>
      </c>
      <c r="E17" s="1" t="str">
        <f t="shared" si="1"/>
        <v>Отчество16</v>
      </c>
      <c r="F17" s="1"/>
      <c r="G17" s="1"/>
      <c r="H17" s="1" t="str">
        <f t="shared" si="2"/>
        <v>Фамилия И.О.</v>
      </c>
      <c r="I17" s="1"/>
      <c r="J17" s="1"/>
      <c r="K17" s="1"/>
    </row>
    <row r="18" spans="1:11" ht="23.1" customHeight="1">
      <c r="A18" s="1" t="s">
        <v>49</v>
      </c>
      <c r="B18" s="1"/>
      <c r="C18" s="1"/>
      <c r="D18" s="1" t="str">
        <f t="shared" si="0"/>
        <v>Фамилия Имя</v>
      </c>
      <c r="E18" s="1" t="str">
        <f t="shared" si="1"/>
        <v>Отчество17</v>
      </c>
      <c r="F18" s="1"/>
      <c r="G18" s="1"/>
      <c r="H18" s="1" t="str">
        <f t="shared" si="2"/>
        <v>Фамилия И.О.</v>
      </c>
      <c r="I18" s="1"/>
      <c r="J18" s="1"/>
      <c r="K18" s="1"/>
    </row>
    <row r="19" spans="1:11" ht="23.1" customHeight="1">
      <c r="A19" s="1" t="s">
        <v>50</v>
      </c>
      <c r="B19" s="1"/>
      <c r="C19" s="1"/>
      <c r="D19" s="1" t="str">
        <f t="shared" si="0"/>
        <v>Фамилия Имя</v>
      </c>
      <c r="E19" s="1" t="str">
        <f t="shared" si="1"/>
        <v>Отчество18</v>
      </c>
      <c r="F19" s="1"/>
      <c r="G19" s="1"/>
      <c r="H19" s="1" t="str">
        <f t="shared" si="2"/>
        <v>Фамилия И.О.</v>
      </c>
      <c r="I19" s="1"/>
      <c r="J19" s="1"/>
      <c r="K19" s="1"/>
    </row>
    <row r="20" spans="1:11" ht="23.1" customHeight="1">
      <c r="A20" s="1" t="s">
        <v>51</v>
      </c>
      <c r="B20" s="1"/>
      <c r="C20" s="1"/>
      <c r="D20" s="1" t="str">
        <f t="shared" si="0"/>
        <v>Фамилия Имя</v>
      </c>
      <c r="E20" s="1" t="str">
        <f t="shared" si="1"/>
        <v>Отчество19</v>
      </c>
      <c r="F20" s="1"/>
      <c r="G20" s="1"/>
      <c r="H20" s="1" t="str">
        <f t="shared" si="2"/>
        <v>Фамилия И.О.</v>
      </c>
      <c r="I20" s="1"/>
      <c r="J20" s="1"/>
      <c r="K20" s="1"/>
    </row>
    <row r="21" spans="1:11" ht="23.1" customHeight="1">
      <c r="A21" s="1" t="s">
        <v>52</v>
      </c>
      <c r="B21" s="1"/>
      <c r="C21" s="1"/>
      <c r="D21" s="1" t="str">
        <f t="shared" si="0"/>
        <v>Фамилия Имя</v>
      </c>
      <c r="E21" s="1" t="str">
        <f t="shared" si="1"/>
        <v>Отчество20</v>
      </c>
      <c r="F21" s="1"/>
      <c r="G21" s="1"/>
      <c r="H21" s="1" t="str">
        <f t="shared" si="2"/>
        <v>Фамилия И.О.</v>
      </c>
      <c r="I21" s="1"/>
      <c r="J21" s="1"/>
      <c r="K21" s="1"/>
    </row>
    <row r="22" spans="1:11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3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</sheetData>
  <pageMargins left="0.7" right="0.7" top="0.75" bottom="0.75" header="0.3" footer="0.3"/>
  <pageSetup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2"/>
  <sheetViews>
    <sheetView showGridLines="0" workbookViewId="0"/>
  </sheetViews>
  <sheetFormatPr defaultRowHeight="14.25"/>
  <cols>
    <col min="1" max="3" width="20" customWidth="1"/>
    <col min="5" max="5" width="23" customWidth="1"/>
    <col min="7" max="7" width="20" customWidth="1"/>
  </cols>
  <sheetData>
    <row r="1" spans="1:14" ht="48" customHeight="1">
      <c r="A1" s="2" t="s">
        <v>53</v>
      </c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3.1" customHeight="1">
      <c r="A2" s="1"/>
      <c r="B2" s="1" t="s">
        <v>3</v>
      </c>
      <c r="C2" s="1">
        <v>226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3.1" customHeight="1">
      <c r="A3" s="1"/>
      <c r="B3" s="1" t="s">
        <v>3</v>
      </c>
      <c r="C3" s="1">
        <v>317</v>
      </c>
      <c r="D3" s="1"/>
      <c r="E3" t="s">
        <v>54</v>
      </c>
      <c r="G3" s="8">
        <f>SUMIFS(Portions[Кол-во порций],Portions[Кафе],"&lt;&gt;")</f>
        <v>12578</v>
      </c>
      <c r="H3" s="1"/>
      <c r="I3" s="1"/>
      <c r="J3" s="10" t="s">
        <v>55</v>
      </c>
      <c r="K3" s="10"/>
      <c r="L3" s="10"/>
      <c r="M3" s="10"/>
      <c r="N3" s="10"/>
    </row>
    <row r="4" spans="1:14" ht="23.1" customHeight="1">
      <c r="A4" s="1"/>
      <c r="B4" s="1" t="s">
        <v>3</v>
      </c>
      <c r="C4" s="1">
        <v>408</v>
      </c>
      <c r="D4" s="1"/>
      <c r="E4" s="1"/>
      <c r="F4" s="1"/>
      <c r="G4" s="1"/>
      <c r="H4" s="1"/>
      <c r="I4" s="1"/>
      <c r="J4" s="10"/>
      <c r="K4" s="10"/>
      <c r="L4" s="10"/>
      <c r="M4" s="10"/>
      <c r="N4" s="10"/>
    </row>
    <row r="5" spans="1:14" ht="23.1" customHeight="1">
      <c r="A5" s="1"/>
      <c r="B5" s="1" t="s">
        <v>3</v>
      </c>
      <c r="C5" s="1">
        <v>499</v>
      </c>
      <c r="D5" s="1"/>
      <c r="E5" s="1"/>
      <c r="F5" s="1"/>
      <c r="G5" s="1"/>
      <c r="H5" s="1"/>
      <c r="I5" s="1"/>
      <c r="J5" s="10"/>
      <c r="K5" s="10"/>
      <c r="L5" s="10"/>
      <c r="M5" s="10"/>
      <c r="N5" s="10"/>
    </row>
    <row r="6" spans="1:14" ht="23.1" customHeight="1">
      <c r="A6" s="1"/>
      <c r="B6" s="1" t="s">
        <v>3</v>
      </c>
      <c r="C6" s="1">
        <v>590</v>
      </c>
      <c r="D6" s="1"/>
      <c r="E6" s="1"/>
      <c r="F6" s="1"/>
      <c r="G6" s="1"/>
      <c r="H6" s="1"/>
      <c r="I6" s="1"/>
      <c r="J6" s="10"/>
      <c r="K6" s="10"/>
      <c r="L6" s="10"/>
      <c r="M6" s="10"/>
      <c r="N6" s="10"/>
    </row>
    <row r="7" spans="1:14" ht="23.1" customHeight="1">
      <c r="A7" s="1"/>
      <c r="B7" s="1" t="s">
        <v>3</v>
      </c>
      <c r="C7" s="1">
        <v>681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3.1" customHeight="1">
      <c r="A8" s="1"/>
      <c r="B8" s="1" t="s">
        <v>3</v>
      </c>
      <c r="C8" s="1">
        <v>772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3.1" customHeight="1">
      <c r="A9" s="1" t="s">
        <v>56</v>
      </c>
      <c r="B9" s="1"/>
      <c r="C9" s="1">
        <f>SUM(C2:C8)</f>
        <v>3493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3.1" customHeight="1">
      <c r="A10" s="1"/>
      <c r="B10" s="1" t="s">
        <v>57</v>
      </c>
      <c r="C10" s="1">
        <v>499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3.1" customHeight="1">
      <c r="A11" s="1"/>
      <c r="B11" s="1" t="s">
        <v>57</v>
      </c>
      <c r="C11" s="1">
        <v>590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3.1" customHeight="1">
      <c r="A12" s="1"/>
      <c r="B12" s="1" t="s">
        <v>57</v>
      </c>
      <c r="C12" s="1">
        <v>681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3.1" customHeight="1">
      <c r="A13" s="1"/>
      <c r="B13" s="1" t="s">
        <v>57</v>
      </c>
      <c r="C13" s="1">
        <v>772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3.1" customHeight="1">
      <c r="A14" s="1"/>
      <c r="B14" s="1" t="s">
        <v>57</v>
      </c>
      <c r="C14" s="1">
        <v>863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3.1" customHeight="1">
      <c r="A15" s="1"/>
      <c r="B15" s="1" t="s">
        <v>57</v>
      </c>
      <c r="C15" s="1">
        <v>954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3.1" customHeight="1">
      <c r="A16" s="1"/>
      <c r="B16" s="1" t="s">
        <v>57</v>
      </c>
      <c r="C16" s="1">
        <v>1045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3.1" customHeight="1">
      <c r="A17" s="1"/>
      <c r="B17" s="1" t="s">
        <v>57</v>
      </c>
      <c r="C17" s="1">
        <v>1136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3.1" customHeight="1">
      <c r="A18" s="1"/>
      <c r="B18" s="1" t="s">
        <v>57</v>
      </c>
      <c r="C18" s="1">
        <v>1227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3.1" customHeight="1">
      <c r="A19" s="1"/>
      <c r="B19" s="1" t="s">
        <v>57</v>
      </c>
      <c r="C19" s="1">
        <v>1318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3.1" customHeight="1">
      <c r="A20" s="1" t="s">
        <v>56</v>
      </c>
      <c r="B20" s="1"/>
      <c r="C20" s="1">
        <f>SUM(C10:C19)</f>
        <v>9085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3.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3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1">
    <mergeCell ref="J3:N6"/>
  </mergeCells>
  <pageMargins left="0.7" right="0.7" top="0.75" bottom="0.75" header="0.3" footer="0.3"/>
  <pageSetup scale="6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Порции</vt:lpstr>
      <vt:lpstr>ФИО</vt:lpstr>
      <vt:lpstr>Общий итог</vt:lpstr>
      <vt:lpstr>'Общий итог'!Область_печати</vt:lpstr>
      <vt:lpstr>Порции!Область_печати</vt:lpstr>
      <vt:lpstr>ФИО!Область_печати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cp:lastPrinted>2026-10-17T15:09:33Z</cp:lastPrinted>
  <dcterms:modified xsi:type="dcterms:W3CDTF">2026-10-17T15:09:33Z</dcterms:modified>
</cp:coreProperties>
</file>