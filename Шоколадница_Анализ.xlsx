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lena\Desktop\ТЕСТОВЫЕ-МОЯ РАБОТА\ШОКОЛАДНИЦА\Решение\outputs\"/>
    </mc:Choice>
  </mc:AlternateContent>
  <xr:revisionPtr revIDLastSave="0" documentId="13_ncr:1_{2E2FF548-7F73-49CF-BEBE-373813DCEF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Итоги" sheetId="1" r:id="rId1"/>
    <sheet name="Объекты" sheetId="2" r:id="rId2"/>
    <sheet name="По месяцам" sheetId="3" r:id="rId3"/>
    <sheet name="Данные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6" i="3" l="1"/>
  <c r="F16" i="3"/>
  <c r="C16" i="3"/>
  <c r="B16" i="3"/>
  <c r="G15" i="3"/>
  <c r="F15" i="3"/>
  <c r="C15" i="3"/>
  <c r="D15" i="3" s="1"/>
  <c r="E15" i="3" s="1"/>
  <c r="B15" i="3"/>
  <c r="G14" i="3"/>
  <c r="F14" i="3"/>
  <c r="C14" i="3"/>
  <c r="B14" i="3"/>
  <c r="G13" i="3"/>
  <c r="F13" i="3"/>
  <c r="C13" i="3"/>
  <c r="D13" i="3" s="1"/>
  <c r="E13" i="3" s="1"/>
  <c r="B13" i="3"/>
  <c r="G12" i="3"/>
  <c r="F12" i="3"/>
  <c r="C12" i="3"/>
  <c r="B12" i="3"/>
  <c r="G11" i="3"/>
  <c r="F11" i="3"/>
  <c r="C11" i="3"/>
  <c r="B11" i="3"/>
  <c r="G10" i="3"/>
  <c r="F10" i="3"/>
  <c r="C10" i="3"/>
  <c r="B10" i="3"/>
  <c r="G9" i="3"/>
  <c r="F9" i="3"/>
  <c r="C9" i="3"/>
  <c r="D9" i="3" s="1"/>
  <c r="E9" i="3" s="1"/>
  <c r="B9" i="3"/>
  <c r="G8" i="3"/>
  <c r="F8" i="3"/>
  <c r="C8" i="3"/>
  <c r="B8" i="3"/>
  <c r="G7" i="3"/>
  <c r="F7" i="3"/>
  <c r="C7" i="3"/>
  <c r="D7" i="3" s="1"/>
  <c r="E7" i="3" s="1"/>
  <c r="B7" i="3"/>
  <c r="G6" i="3"/>
  <c r="F6" i="3"/>
  <c r="C6" i="3"/>
  <c r="B6" i="3"/>
  <c r="G5" i="3"/>
  <c r="G17" i="3" s="1"/>
  <c r="F5" i="3"/>
  <c r="F17" i="3" s="1"/>
  <c r="C5" i="3"/>
  <c r="B5" i="3"/>
  <c r="G31" i="2"/>
  <c r="F31" i="2"/>
  <c r="C31" i="2"/>
  <c r="K31" i="2" s="1"/>
  <c r="B31" i="2"/>
  <c r="G30" i="2"/>
  <c r="H30" i="2" s="1"/>
  <c r="I30" i="2" s="1"/>
  <c r="F30" i="2"/>
  <c r="C30" i="2"/>
  <c r="K30" i="2" s="1"/>
  <c r="B30" i="2"/>
  <c r="J30" i="2" s="1"/>
  <c r="G29" i="2"/>
  <c r="F29" i="2"/>
  <c r="C29" i="2"/>
  <c r="K29" i="2" s="1"/>
  <c r="B29" i="2"/>
  <c r="J29" i="2" s="1"/>
  <c r="G28" i="2"/>
  <c r="H28" i="2" s="1"/>
  <c r="F28" i="2"/>
  <c r="C28" i="2"/>
  <c r="D28" i="2" s="1"/>
  <c r="B28" i="2"/>
  <c r="J28" i="2" s="1"/>
  <c r="G27" i="2"/>
  <c r="H27" i="2" s="1"/>
  <c r="F27" i="2"/>
  <c r="C27" i="2"/>
  <c r="B27" i="2"/>
  <c r="J27" i="2" s="1"/>
  <c r="G26" i="2"/>
  <c r="F26" i="2"/>
  <c r="D26" i="2"/>
  <c r="E26" i="2" s="1"/>
  <c r="C26" i="2"/>
  <c r="B26" i="2"/>
  <c r="J26" i="2" s="1"/>
  <c r="G25" i="2"/>
  <c r="H25" i="2" s="1"/>
  <c r="F25" i="2"/>
  <c r="C25" i="2"/>
  <c r="D25" i="2" s="1"/>
  <c r="B25" i="2"/>
  <c r="G24" i="2"/>
  <c r="H24" i="2" s="1"/>
  <c r="F24" i="2"/>
  <c r="C24" i="2"/>
  <c r="D24" i="2" s="1"/>
  <c r="B24" i="2"/>
  <c r="G23" i="2"/>
  <c r="F23" i="2"/>
  <c r="C23" i="2"/>
  <c r="B23" i="2"/>
  <c r="J23" i="2" s="1"/>
  <c r="G22" i="2"/>
  <c r="H22" i="2" s="1"/>
  <c r="F22" i="2"/>
  <c r="C22" i="2"/>
  <c r="B22" i="2"/>
  <c r="J22" i="2" s="1"/>
  <c r="G21" i="2"/>
  <c r="H21" i="2" s="1"/>
  <c r="F21" i="2"/>
  <c r="C21" i="2"/>
  <c r="D21" i="2" s="1"/>
  <c r="B21" i="2"/>
  <c r="J21" i="2" s="1"/>
  <c r="G20" i="2"/>
  <c r="F20" i="2"/>
  <c r="C20" i="2"/>
  <c r="B20" i="2"/>
  <c r="J20" i="2" s="1"/>
  <c r="G19" i="2"/>
  <c r="F19" i="2"/>
  <c r="C19" i="2"/>
  <c r="B19" i="2"/>
  <c r="G18" i="2"/>
  <c r="F18" i="2"/>
  <c r="H18" i="2" s="1"/>
  <c r="C18" i="2"/>
  <c r="D18" i="2" s="1"/>
  <c r="B18" i="2"/>
  <c r="G17" i="2"/>
  <c r="H17" i="2" s="1"/>
  <c r="F17" i="2"/>
  <c r="C17" i="2"/>
  <c r="B17" i="2"/>
  <c r="J17" i="2" s="1"/>
  <c r="G16" i="2"/>
  <c r="H16" i="2" s="1"/>
  <c r="F16" i="2"/>
  <c r="C16" i="2"/>
  <c r="K16" i="2" s="1"/>
  <c r="B16" i="2"/>
  <c r="D16" i="2" s="1"/>
  <c r="G15" i="2"/>
  <c r="F15" i="2"/>
  <c r="C15" i="2"/>
  <c r="B15" i="2"/>
  <c r="G14" i="2"/>
  <c r="H14" i="2" s="1"/>
  <c r="I14" i="2" s="1"/>
  <c r="F14" i="2"/>
  <c r="C14" i="2"/>
  <c r="K14" i="2" s="1"/>
  <c r="B14" i="2"/>
  <c r="G13" i="2"/>
  <c r="F13" i="2"/>
  <c r="C13" i="2"/>
  <c r="K13" i="2" s="1"/>
  <c r="B13" i="2"/>
  <c r="J13" i="2" s="1"/>
  <c r="G12" i="2"/>
  <c r="F12" i="2"/>
  <c r="C12" i="2"/>
  <c r="B12" i="2"/>
  <c r="J12" i="2" s="1"/>
  <c r="G11" i="2"/>
  <c r="H11" i="2" s="1"/>
  <c r="F11" i="2"/>
  <c r="C11" i="2"/>
  <c r="B11" i="2"/>
  <c r="J11" i="2" s="1"/>
  <c r="G10" i="2"/>
  <c r="H10" i="2" s="1"/>
  <c r="F10" i="2"/>
  <c r="C10" i="2"/>
  <c r="B10" i="2"/>
  <c r="J10" i="2" s="1"/>
  <c r="G9" i="2"/>
  <c r="H9" i="2" s="1"/>
  <c r="F9" i="2"/>
  <c r="C9" i="2"/>
  <c r="B9" i="2"/>
  <c r="J9" i="2" s="1"/>
  <c r="G8" i="2"/>
  <c r="F8" i="2"/>
  <c r="C8" i="2"/>
  <c r="B8" i="2"/>
  <c r="J8" i="2" s="1"/>
  <c r="G7" i="2"/>
  <c r="F7" i="2"/>
  <c r="C7" i="2"/>
  <c r="B7" i="2"/>
  <c r="J7" i="2" s="1"/>
  <c r="G6" i="2"/>
  <c r="F6" i="2"/>
  <c r="C6" i="2"/>
  <c r="B6" i="2"/>
  <c r="J6" i="2" s="1"/>
  <c r="G5" i="2"/>
  <c r="F5" i="2"/>
  <c r="C5" i="2"/>
  <c r="B5" i="2"/>
  <c r="J5" i="2" s="1"/>
  <c r="C27" i="1"/>
  <c r="A27" i="1"/>
  <c r="C26" i="1"/>
  <c r="A26" i="1"/>
  <c r="C25" i="1"/>
  <c r="A25" i="1"/>
  <c r="C24" i="1"/>
  <c r="A24" i="1"/>
  <c r="C23" i="1"/>
  <c r="A23" i="1"/>
  <c r="J19" i="2" l="1"/>
  <c r="D22" i="2"/>
  <c r="D6" i="3"/>
  <c r="E6" i="3" s="1"/>
  <c r="K21" i="2"/>
  <c r="N21" i="2" s="1"/>
  <c r="D9" i="2"/>
  <c r="D19" i="2"/>
  <c r="K26" i="2"/>
  <c r="N26" i="2" s="1"/>
  <c r="H29" i="2"/>
  <c r="M29" i="2" s="1"/>
  <c r="D10" i="3"/>
  <c r="E10" i="3" s="1"/>
  <c r="D14" i="3"/>
  <c r="E14" i="3" s="1"/>
  <c r="C32" i="2"/>
  <c r="D5" i="2"/>
  <c r="B23" i="1" s="1"/>
  <c r="D13" i="2"/>
  <c r="E13" i="2" s="1"/>
  <c r="J16" i="2"/>
  <c r="N16" i="2" s="1"/>
  <c r="H19" i="2"/>
  <c r="I19" i="2" s="1"/>
  <c r="G32" i="2"/>
  <c r="C6" i="1" s="1"/>
  <c r="K19" i="2"/>
  <c r="D23" i="2"/>
  <c r="H26" i="2"/>
  <c r="H13" i="2"/>
  <c r="D17" i="2"/>
  <c r="D11" i="3"/>
  <c r="E11" i="3" s="1"/>
  <c r="D29" i="2"/>
  <c r="E29" i="2" s="1"/>
  <c r="D6" i="2"/>
  <c r="H6" i="2"/>
  <c r="D10" i="2"/>
  <c r="E10" i="2" s="1"/>
  <c r="J14" i="2"/>
  <c r="M14" i="2" s="1"/>
  <c r="K20" i="2"/>
  <c r="N20" i="2" s="1"/>
  <c r="H23" i="2"/>
  <c r="M23" i="2" s="1"/>
  <c r="D27" i="2"/>
  <c r="E27" i="2" s="1"/>
  <c r="H15" i="2"/>
  <c r="M15" i="2" s="1"/>
  <c r="F32" i="2"/>
  <c r="B6" i="1" s="1"/>
  <c r="H20" i="2"/>
  <c r="J24" i="2"/>
  <c r="J31" i="2"/>
  <c r="K18" i="2"/>
  <c r="D8" i="3"/>
  <c r="E8" i="3" s="1"/>
  <c r="D12" i="3"/>
  <c r="E12" i="3" s="1"/>
  <c r="H8" i="2"/>
  <c r="I8" i="2" s="1"/>
  <c r="D11" i="2"/>
  <c r="E11" i="2" s="1"/>
  <c r="K17" i="2"/>
  <c r="N17" i="2" s="1"/>
  <c r="H31" i="2"/>
  <c r="D16" i="3"/>
  <c r="E16" i="3" s="1"/>
  <c r="D8" i="2"/>
  <c r="D12" i="2"/>
  <c r="E12" i="2" s="1"/>
  <c r="H12" i="2"/>
  <c r="I12" i="2" s="1"/>
  <c r="K5" i="2"/>
  <c r="L5" i="2" s="1"/>
  <c r="D7" i="2"/>
  <c r="B25" i="1" s="1"/>
  <c r="H7" i="2"/>
  <c r="J15" i="2"/>
  <c r="J18" i="2"/>
  <c r="J25" i="2"/>
  <c r="B17" i="3"/>
  <c r="K15" i="2"/>
  <c r="C17" i="3"/>
  <c r="E19" i="2"/>
  <c r="C5" i="1"/>
  <c r="K32" i="2"/>
  <c r="I29" i="2"/>
  <c r="N29" i="2"/>
  <c r="L29" i="2"/>
  <c r="I21" i="2"/>
  <c r="E16" i="2"/>
  <c r="I22" i="2"/>
  <c r="M26" i="2"/>
  <c r="I26" i="2"/>
  <c r="B24" i="1"/>
  <c r="E6" i="2"/>
  <c r="I13" i="2"/>
  <c r="M13" i="2"/>
  <c r="I10" i="2"/>
  <c r="L31" i="2"/>
  <c r="N31" i="2"/>
  <c r="M24" i="2"/>
  <c r="I24" i="2"/>
  <c r="M31" i="2"/>
  <c r="I31" i="2"/>
  <c r="E8" i="2"/>
  <c r="P8" i="2"/>
  <c r="B26" i="1"/>
  <c r="I16" i="2"/>
  <c r="L30" i="2"/>
  <c r="N30" i="2"/>
  <c r="L19" i="2"/>
  <c r="E17" i="2"/>
  <c r="I27" i="2"/>
  <c r="N18" i="2"/>
  <c r="L18" i="2"/>
  <c r="M18" i="2"/>
  <c r="O18" i="2" s="1"/>
  <c r="I18" i="2"/>
  <c r="E22" i="2"/>
  <c r="E9" i="2"/>
  <c r="B27" i="1"/>
  <c r="N13" i="2"/>
  <c r="L13" i="2"/>
  <c r="E23" i="2"/>
  <c r="I6" i="2"/>
  <c r="M20" i="2"/>
  <c r="I20" i="2"/>
  <c r="E24" i="2"/>
  <c r="E7" i="2"/>
  <c r="D26" i="1"/>
  <c r="E28" i="2"/>
  <c r="I7" i="2"/>
  <c r="I11" i="2"/>
  <c r="M11" i="2"/>
  <c r="L15" i="2"/>
  <c r="N15" i="2"/>
  <c r="E18" i="2"/>
  <c r="E25" i="2"/>
  <c r="P25" i="2"/>
  <c r="I28" i="2"/>
  <c r="I9" i="2"/>
  <c r="K11" i="2"/>
  <c r="D20" i="2"/>
  <c r="E21" i="2"/>
  <c r="I25" i="2"/>
  <c r="K27" i="2"/>
  <c r="K28" i="2"/>
  <c r="M30" i="2"/>
  <c r="K10" i="2"/>
  <c r="K9" i="2"/>
  <c r="M9" i="2" s="1"/>
  <c r="K25" i="2"/>
  <c r="B32" i="2"/>
  <c r="P29" i="2" s="1"/>
  <c r="E5" i="2"/>
  <c r="H5" i="2"/>
  <c r="K8" i="2"/>
  <c r="K24" i="2"/>
  <c r="D5" i="3"/>
  <c r="K7" i="2"/>
  <c r="M7" i="2" s="1"/>
  <c r="K23" i="2"/>
  <c r="K12" i="2"/>
  <c r="K6" i="2"/>
  <c r="D15" i="2"/>
  <c r="K22" i="2"/>
  <c r="D31" i="2"/>
  <c r="D14" i="2"/>
  <c r="D30" i="2"/>
  <c r="I17" i="2"/>
  <c r="L17" i="2"/>
  <c r="O26" i="2" l="1"/>
  <c r="D27" i="1"/>
  <c r="M19" i="2"/>
  <c r="I23" i="2"/>
  <c r="I15" i="2"/>
  <c r="O30" i="2"/>
  <c r="M6" i="2"/>
  <c r="M12" i="2"/>
  <c r="L14" i="2"/>
  <c r="L21" i="2"/>
  <c r="M21" i="2"/>
  <c r="O21" i="2" s="1"/>
  <c r="D25" i="1"/>
  <c r="M8" i="2"/>
  <c r="M16" i="2"/>
  <c r="O16" i="2" s="1"/>
  <c r="L20" i="2"/>
  <c r="O20" i="2"/>
  <c r="L16" i="2"/>
  <c r="N14" i="2"/>
  <c r="N5" i="2"/>
  <c r="L26" i="2"/>
  <c r="N19" i="2"/>
  <c r="M17" i="2"/>
  <c r="O17" i="2" s="1"/>
  <c r="N25" i="2"/>
  <c r="L25" i="2"/>
  <c r="P17" i="2"/>
  <c r="O13" i="2"/>
  <c r="P18" i="2"/>
  <c r="N28" i="2"/>
  <c r="L28" i="2"/>
  <c r="L32" i="2"/>
  <c r="D7" i="1" s="1"/>
  <c r="C7" i="1"/>
  <c r="O29" i="2"/>
  <c r="N10" i="2"/>
  <c r="L10" i="2"/>
  <c r="N12" i="2"/>
  <c r="L12" i="2"/>
  <c r="N23" i="2"/>
  <c r="L23" i="2"/>
  <c r="M10" i="2"/>
  <c r="O10" i="2" s="1"/>
  <c r="D23" i="1"/>
  <c r="E31" i="2"/>
  <c r="P31" i="2"/>
  <c r="O23" i="2"/>
  <c r="P19" i="2"/>
  <c r="P6" i="2"/>
  <c r="P12" i="2"/>
  <c r="E14" i="2"/>
  <c r="P14" i="2"/>
  <c r="O31" i="2"/>
  <c r="P24" i="2"/>
  <c r="N11" i="2"/>
  <c r="O11" i="2" s="1"/>
  <c r="L11" i="2"/>
  <c r="B5" i="1"/>
  <c r="J32" i="2"/>
  <c r="B7" i="1" s="1"/>
  <c r="N22" i="2"/>
  <c r="L22" i="2"/>
  <c r="P16" i="2"/>
  <c r="N24" i="2"/>
  <c r="O24" i="2" s="1"/>
  <c r="L24" i="2"/>
  <c r="P21" i="2"/>
  <c r="P13" i="2"/>
  <c r="O14" i="2"/>
  <c r="P23" i="2"/>
  <c r="P9" i="2"/>
  <c r="N9" i="2"/>
  <c r="O9" i="2" s="1"/>
  <c r="L9" i="2"/>
  <c r="D32" i="2"/>
  <c r="D17" i="3"/>
  <c r="E17" i="3" s="1"/>
  <c r="E5" i="3"/>
  <c r="P20" i="2"/>
  <c r="E20" i="2"/>
  <c r="P28" i="2"/>
  <c r="M22" i="2"/>
  <c r="O22" i="2" s="1"/>
  <c r="E30" i="2"/>
  <c r="D24" i="1"/>
  <c r="P30" i="2"/>
  <c r="N8" i="2"/>
  <c r="O8" i="2" s="1"/>
  <c r="L8" i="2"/>
  <c r="M28" i="2"/>
  <c r="P11" i="2"/>
  <c r="M25" i="2"/>
  <c r="P10" i="2"/>
  <c r="O15" i="2"/>
  <c r="P7" i="2"/>
  <c r="E15" i="2"/>
  <c r="P15" i="2"/>
  <c r="N6" i="2"/>
  <c r="O6" i="2" s="1"/>
  <c r="L6" i="2"/>
  <c r="P22" i="2"/>
  <c r="N27" i="2"/>
  <c r="L27" i="2"/>
  <c r="N7" i="2"/>
  <c r="O7" i="2" s="1"/>
  <c r="L7" i="2"/>
  <c r="P27" i="2"/>
  <c r="P26" i="2"/>
  <c r="M5" i="2"/>
  <c r="H32" i="2"/>
  <c r="I32" i="2" s="1"/>
  <c r="D6" i="1" s="1"/>
  <c r="I5" i="2"/>
  <c r="M27" i="2"/>
  <c r="P5" i="2"/>
  <c r="O12" i="2" l="1"/>
  <c r="O19" i="2"/>
  <c r="N32" i="2"/>
  <c r="B13" i="1" s="1"/>
  <c r="O27" i="2"/>
  <c r="E32" i="2"/>
  <c r="D5" i="1" s="1"/>
  <c r="B10" i="1"/>
  <c r="O25" i="2"/>
  <c r="P32" i="2"/>
  <c r="M32" i="2"/>
  <c r="B12" i="1" s="1"/>
  <c r="O5" i="2"/>
  <c r="O28" i="2"/>
  <c r="O32" i="2" l="1"/>
  <c r="B15" i="1" s="1"/>
</calcChain>
</file>

<file path=xl/sharedStrings.xml><?xml version="1.0" encoding="utf-8"?>
<sst xmlns="http://schemas.openxmlformats.org/spreadsheetml/2006/main" count="725" uniqueCount="64">
  <si>
    <t>Шоколадница: итоги 2019 года</t>
  </si>
  <si>
    <t>Показатель</t>
  </si>
  <si>
    <t>2018</t>
  </si>
  <si>
    <t>2019</t>
  </si>
  <si>
    <t>Изменение</t>
  </si>
  <si>
    <t>Выручка, руб.</t>
  </si>
  <si>
    <t>Количество чеков</t>
  </si>
  <si>
    <t>Средний чек, руб.</t>
  </si>
  <si>
    <t>Изменение выручки, руб.</t>
  </si>
  <si>
    <t>Эффект числа чеков, руб.</t>
  </si>
  <si>
    <t>Эффект среднего чека, руб.</t>
  </si>
  <si>
    <t>Проверка разложения, руб.</t>
  </si>
  <si>
    <t>Эффекты рассчитаны внутри каждой кофейни симметричным методом, затем сложены по сети. Средний чек — выручка / число чеков.</t>
  </si>
  <si>
    <t>Рост выручки</t>
  </si>
  <si>
    <t>Вклад, руб.</t>
  </si>
  <si>
    <t>Падение выручки</t>
  </si>
  <si>
    <t>Главный риск: снижение числа чеков. Рост среднего чека компенсировал падение объёма операций. Проверить загрузку и режим работы кофеен 15–20, а также причины скачка среднего чека в кофейнях 7–10.</t>
  </si>
  <si>
    <t>Вклад кофеен в изменение выручки</t>
  </si>
  <si>
    <t>Кафе</t>
  </si>
  <si>
    <t>Выручка 2018, руб.</t>
  </si>
  <si>
    <t>Выручка 2019, руб.</t>
  </si>
  <si>
    <t>Изменение, руб.</t>
  </si>
  <si>
    <t>Изменение, %</t>
  </si>
  <si>
    <t>Чеки 2018</t>
  </si>
  <si>
    <t>Чеки 2019</t>
  </si>
  <si>
    <t>Изменение чеков</t>
  </si>
  <si>
    <t>Изменение чеков, %</t>
  </si>
  <si>
    <t>Средний чек 2018, руб.</t>
  </si>
  <si>
    <t>Средний чек 2019, руб.</t>
  </si>
  <si>
    <t>Изменение ср. чека, %</t>
  </si>
  <si>
    <t>Расхождение, руб.</t>
  </si>
  <si>
    <t>Вклад в рост сети, п.п.</t>
  </si>
  <si>
    <t>Кафе10</t>
  </si>
  <si>
    <t>Кафе7</t>
  </si>
  <si>
    <t>Кафе9</t>
  </si>
  <si>
    <t>Кафе8</t>
  </si>
  <si>
    <t>Кафе23</t>
  </si>
  <si>
    <t>Кафе21</t>
  </si>
  <si>
    <t>Кафе12</t>
  </si>
  <si>
    <t>Кафе5</t>
  </si>
  <si>
    <t>Кафе22</t>
  </si>
  <si>
    <t>Кафе1</t>
  </si>
  <si>
    <t>Кафе26</t>
  </si>
  <si>
    <t>Кафе24</t>
  </si>
  <si>
    <t>Кафе2</t>
  </si>
  <si>
    <t>Кафе27</t>
  </si>
  <si>
    <t>Кафе11</t>
  </si>
  <si>
    <t>Кафе13</t>
  </si>
  <si>
    <t>Кафе3</t>
  </si>
  <si>
    <t>Кафе6</t>
  </si>
  <si>
    <t>Кафе4</t>
  </si>
  <si>
    <t>Кафе25</t>
  </si>
  <si>
    <t>Кафе14</t>
  </si>
  <si>
    <t>Кафе16</t>
  </si>
  <si>
    <t>Кафе17</t>
  </si>
  <si>
    <t>Кафе19</t>
  </si>
  <si>
    <t>Кафе20</t>
  </si>
  <si>
    <t>Кафе15</t>
  </si>
  <si>
    <t>Кафе18</t>
  </si>
  <si>
    <t>Итого</t>
  </si>
  <si>
    <t>Динамика по месяцам</t>
  </si>
  <si>
    <t>Месяц</t>
  </si>
  <si>
    <t>Объект</t>
  </si>
  <si>
    <t>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</si>
</sst>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>
    <font>
      <sz val="11"/>
      <name val="Carlito"/>
    </font>
    <font>
      <sz val="11"/>
      <color rgb="FF302820"/>
      <name val="Arial"/>
    </font>
    <font>
      <b/>
      <sz val="11"/>
      <color rgb="FFFFFFFF"/>
      <name val="Arial"/>
    </font>
    <font>
      <b/>
      <sz val="16"/>
      <color rgb="FF543728"/>
      <name val="Arial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543728"/>
      </patternFill>
    </fill>
    <fill>
      <patternFill patternType="solid">
        <fgColor rgb="FFF3E9D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1" fillId="0" borderId="0" xfId="1" applyFont="1" applyAlignment="1">
      <alignment vertical="center"/>
    </xf>
    <xf numFmtId="0" fontId="2" fillId="2" borderId="0" xfId="1" applyFont="1" applyFill="1" applyAlignment="1">
      <alignment horizontal="center" vertical="center" wrapText="1"/>
    </xf>
    <xf numFmtId="4" fontId="1" fillId="0" borderId="0" xfId="1" applyNumberFormat="1" applyFont="1" applyAlignment="1">
      <alignment vertical="center"/>
    </xf>
    <xf numFmtId="0" fontId="3" fillId="0" borderId="0" xfId="1" applyFont="1" applyAlignment="1">
      <alignment vertical="center"/>
    </xf>
    <xf numFmtId="164" fontId="1" fillId="0" borderId="0" xfId="1" applyNumberFormat="1" applyFont="1" applyAlignment="1">
      <alignment vertical="center"/>
    </xf>
    <xf numFmtId="3" fontId="1" fillId="0" borderId="0" xfId="1" applyNumberFormat="1" applyFont="1" applyAlignment="1">
      <alignment vertical="center"/>
    </xf>
    <xf numFmtId="0" fontId="1" fillId="3" borderId="0" xfId="1" applyFont="1" applyFill="1" applyAlignment="1">
      <alignment vertical="center"/>
    </xf>
    <xf numFmtId="4" fontId="1" fillId="3" borderId="0" xfId="1" applyNumberFormat="1" applyFont="1" applyFill="1" applyAlignment="1">
      <alignment vertical="center"/>
    </xf>
    <xf numFmtId="164" fontId="1" fillId="3" borderId="0" xfId="1" applyNumberFormat="1" applyFont="1" applyFill="1" applyAlignment="1">
      <alignment vertical="center"/>
    </xf>
    <xf numFmtId="3" fontId="1" fillId="3" borderId="0" xfId="1" applyNumberFormat="1" applyFont="1" applyFill="1" applyAlignment="1">
      <alignment vertical="center"/>
    </xf>
    <xf numFmtId="0" fontId="1" fillId="0" borderId="0" xfId="1" applyFont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 sz="1050">
                <a:latin typeface="Arial"/>
                <a:ea typeface="Arial"/>
                <a:cs typeface="Arial"/>
              </a:rPr>
              <a:t>Выручка по месяцам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Выручка 2018, руб.</c:v>
          </c:tx>
          <c:marker>
            <c:symbol val="none"/>
          </c:marker>
          <c:cat>
            <c:numRef>
              <c:f>'По месяцам'!$A$5:$A$16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'По месяцам'!$B$5:$B$16</c:f>
              <c:numCache>
                <c:formatCode>#,##0.00</c:formatCode>
                <c:ptCount val="12"/>
                <c:pt idx="0">
                  <c:v>5663634</c:v>
                </c:pt>
                <c:pt idx="1">
                  <c:v>5771042</c:v>
                </c:pt>
                <c:pt idx="2">
                  <c:v>5423401</c:v>
                </c:pt>
                <c:pt idx="3">
                  <c:v>6140414</c:v>
                </c:pt>
                <c:pt idx="4">
                  <c:v>6679628</c:v>
                </c:pt>
                <c:pt idx="5">
                  <c:v>6351750</c:v>
                </c:pt>
                <c:pt idx="6">
                  <c:v>6401324</c:v>
                </c:pt>
                <c:pt idx="7">
                  <c:v>6428169</c:v>
                </c:pt>
                <c:pt idx="8">
                  <c:v>5999622</c:v>
                </c:pt>
                <c:pt idx="9">
                  <c:v>6902381</c:v>
                </c:pt>
                <c:pt idx="10">
                  <c:v>6286122</c:v>
                </c:pt>
                <c:pt idx="11">
                  <c:v>5837588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AE-4C42-9B51-45DFC5FF1443}"/>
            </c:ext>
          </c:extLst>
        </c:ser>
        <c:ser>
          <c:idx val="1"/>
          <c:order val="1"/>
          <c:tx>
            <c:v>Выручка 2019, руб.</c:v>
          </c:tx>
          <c:marker>
            <c:symbol val="none"/>
          </c:marker>
          <c:cat>
            <c:numRef>
              <c:f>'По месяцам'!$A$5:$A$16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'По месяцам'!$C$5:$C$16</c:f>
              <c:numCache>
                <c:formatCode>#,##0.00</c:formatCode>
                <c:ptCount val="12"/>
                <c:pt idx="0">
                  <c:v>5936162</c:v>
                </c:pt>
                <c:pt idx="1">
                  <c:v>5477191</c:v>
                </c:pt>
                <c:pt idx="2">
                  <c:v>5131741</c:v>
                </c:pt>
                <c:pt idx="3">
                  <c:v>6106003</c:v>
                </c:pt>
                <c:pt idx="4">
                  <c:v>6883227</c:v>
                </c:pt>
                <c:pt idx="5">
                  <c:v>6440722</c:v>
                </c:pt>
                <c:pt idx="6">
                  <c:v>6594020</c:v>
                </c:pt>
                <c:pt idx="7">
                  <c:v>6422004</c:v>
                </c:pt>
                <c:pt idx="8">
                  <c:v>6046611</c:v>
                </c:pt>
                <c:pt idx="9">
                  <c:v>7127734</c:v>
                </c:pt>
                <c:pt idx="10">
                  <c:v>6601156</c:v>
                </c:pt>
                <c:pt idx="11">
                  <c:v>5711275.5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AE-4C42-9B51-45DFC5FF14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,,&quot; млн&quot;" sourceLinked="0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13</xdr:col>
      <xdr:colOff>0</xdr:colOff>
      <xdr:row>19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venueData" displayName="RevenueData" ref="A1:E649" totalsRowShown="0">
  <tableColumns count="5">
    <tableColumn id="1" xr3:uid="{00000000-0010-0000-0000-000001000000}" name="Объект"/>
    <tableColumn id="2" xr3:uid="{00000000-0010-0000-0000-000002000000}" name="Год"/>
    <tableColumn id="3" xr3:uid="{00000000-0010-0000-0000-000003000000}" name="Месяц"/>
    <tableColumn id="4" xr3:uid="{00000000-0010-0000-0000-000004000000}" name="Выручка, руб."/>
    <tableColumn id="5" xr3:uid="{00000000-0010-0000-0000-000005000000}" name="Количество чеков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showGridLines="0" tabSelected="1" workbookViewId="0"/>
  </sheetViews>
  <sheetFormatPr defaultRowHeight="14.25"/>
  <cols>
    <col min="1" max="1" width="35" customWidth="1"/>
    <col min="2" max="4" width="21" customWidth="1"/>
    <col min="5" max="13" width="12" customWidth="1"/>
  </cols>
  <sheetData>
    <row r="1" spans="1:13" ht="23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2.1" customHeight="1">
      <c r="A2" s="4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23.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48" customHeight="1">
      <c r="A4" s="2" t="s">
        <v>1</v>
      </c>
      <c r="B4" s="2" t="s">
        <v>2</v>
      </c>
      <c r="C4" s="2" t="s">
        <v>3</v>
      </c>
      <c r="D4" s="2" t="s">
        <v>4</v>
      </c>
      <c r="E4" s="1"/>
      <c r="F4" s="1"/>
      <c r="G4" s="1"/>
      <c r="H4" s="1"/>
      <c r="I4" s="1"/>
      <c r="J4" s="1"/>
      <c r="K4" s="1"/>
      <c r="L4" s="1"/>
      <c r="M4" s="1"/>
    </row>
    <row r="5" spans="1:13" ht="23.1" customHeight="1">
      <c r="A5" s="1" t="s">
        <v>5</v>
      </c>
      <c r="B5" s="3">
        <f>Объекты!B32</f>
        <v>73885075</v>
      </c>
      <c r="C5" s="3">
        <f>Объекты!C32</f>
        <v>74477846.5</v>
      </c>
      <c r="D5" s="5">
        <f>Объекты!E32</f>
        <v>8.0228855421747899E-3</v>
      </c>
      <c r="E5" s="1"/>
      <c r="F5" s="1"/>
      <c r="G5" s="1"/>
      <c r="H5" s="1"/>
      <c r="I5" s="1"/>
      <c r="J5" s="1"/>
      <c r="K5" s="1"/>
      <c r="L5" s="1"/>
      <c r="M5" s="1"/>
    </row>
    <row r="6" spans="1:13" ht="23.1" customHeight="1">
      <c r="A6" s="1" t="s">
        <v>6</v>
      </c>
      <c r="B6" s="6">
        <f>Объекты!F32</f>
        <v>66063</v>
      </c>
      <c r="C6" s="6">
        <f>Объекты!G32</f>
        <v>60859</v>
      </c>
      <c r="D6" s="5">
        <f>Объекты!I32</f>
        <v>-7.8773292160513445E-2</v>
      </c>
      <c r="E6" s="1"/>
      <c r="F6" s="1"/>
      <c r="G6" s="1"/>
      <c r="H6" s="1"/>
      <c r="I6" s="1"/>
      <c r="J6" s="1"/>
      <c r="K6" s="1"/>
      <c r="L6" s="1"/>
      <c r="M6" s="1"/>
    </row>
    <row r="7" spans="1:13" ht="23.1" customHeight="1">
      <c r="A7" s="1" t="s">
        <v>7</v>
      </c>
      <c r="B7" s="3">
        <f>Объекты!J32</f>
        <v>1118.4032665788716</v>
      </c>
      <c r="C7" s="3">
        <f>Объекты!K32</f>
        <v>1223.777033799438</v>
      </c>
      <c r="D7" s="5">
        <f>Объекты!L32</f>
        <v>9.4218043141896857E-2</v>
      </c>
      <c r="E7" s="1"/>
      <c r="F7" s="1"/>
      <c r="G7" s="1"/>
      <c r="H7" s="1"/>
      <c r="I7" s="1"/>
      <c r="J7" s="1"/>
      <c r="K7" s="1"/>
      <c r="L7" s="1"/>
      <c r="M7" s="1"/>
    </row>
    <row r="8" spans="1:13" ht="23.1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23.1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ht="23.1" customHeight="1">
      <c r="A10" s="1" t="s">
        <v>8</v>
      </c>
      <c r="B10" s="3">
        <f>Объекты!D32</f>
        <v>592771.5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23.1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23.1" customHeight="1">
      <c r="A12" s="1" t="s">
        <v>9</v>
      </c>
      <c r="B12" s="3">
        <f>Объекты!M32</f>
        <v>-5362668.256156547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23.1" customHeight="1">
      <c r="A13" s="1" t="s">
        <v>10</v>
      </c>
      <c r="B13" s="3">
        <f>Объекты!N32</f>
        <v>5955439.7561565498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23.1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23.1" customHeight="1">
      <c r="A15" s="1" t="s">
        <v>11</v>
      </c>
      <c r="B15" s="3">
        <f>Объекты!O32</f>
        <v>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ht="23.1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23.1" customHeight="1">
      <c r="A17" s="11" t="s">
        <v>12</v>
      </c>
      <c r="B17" s="11"/>
      <c r="C17" s="11"/>
      <c r="D17" s="11"/>
      <c r="E17" s="1"/>
      <c r="F17" s="1"/>
      <c r="G17" s="1"/>
      <c r="H17" s="1"/>
      <c r="I17" s="1"/>
      <c r="J17" s="1"/>
      <c r="K17" s="1"/>
      <c r="L17" s="1"/>
      <c r="M17" s="1"/>
    </row>
    <row r="18" spans="1:13" ht="23.1" customHeight="1">
      <c r="A18" s="11"/>
      <c r="B18" s="11"/>
      <c r="C18" s="11"/>
      <c r="D18" s="11"/>
      <c r="E18" s="1"/>
      <c r="F18" s="1"/>
      <c r="G18" s="1"/>
      <c r="H18" s="1"/>
      <c r="I18" s="1"/>
      <c r="J18" s="1"/>
      <c r="K18" s="1"/>
      <c r="L18" s="1"/>
      <c r="M18" s="1"/>
    </row>
    <row r="19" spans="1:13" ht="23.1" customHeight="1">
      <c r="A19" s="11"/>
      <c r="B19" s="11"/>
      <c r="C19" s="11"/>
      <c r="D19" s="11"/>
      <c r="E19" s="1"/>
      <c r="F19" s="1"/>
      <c r="G19" s="1"/>
      <c r="H19" s="1"/>
      <c r="I19" s="1"/>
      <c r="J19" s="1"/>
      <c r="K19" s="1"/>
      <c r="L19" s="1"/>
      <c r="M19" s="1"/>
    </row>
    <row r="20" spans="1:13" ht="23.1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23.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48" customHeight="1">
      <c r="A22" s="2" t="s">
        <v>13</v>
      </c>
      <c r="B22" s="2" t="s">
        <v>14</v>
      </c>
      <c r="C22" s="2" t="s">
        <v>15</v>
      </c>
      <c r="D22" s="2" t="s">
        <v>14</v>
      </c>
      <c r="E22" s="1"/>
      <c r="F22" s="1"/>
      <c r="G22" s="1"/>
      <c r="H22" s="1"/>
      <c r="I22" s="1"/>
      <c r="J22" s="1"/>
      <c r="K22" s="1"/>
      <c r="L22" s="1"/>
      <c r="M22" s="1"/>
    </row>
    <row r="23" spans="1:13" ht="23.1" customHeight="1">
      <c r="A23" s="1" t="str">
        <f>Объекты!A5</f>
        <v>Кафе10</v>
      </c>
      <c r="B23" s="3">
        <f>Объекты!D5</f>
        <v>1339784.5</v>
      </c>
      <c r="C23" s="1" t="str">
        <f>Объекты!A31</f>
        <v>Кафе18</v>
      </c>
      <c r="D23" s="3">
        <f>Объекты!D31</f>
        <v>-1283300</v>
      </c>
      <c r="E23" s="1"/>
      <c r="F23" s="1"/>
      <c r="G23" s="1"/>
      <c r="H23" s="1"/>
      <c r="I23" s="1"/>
      <c r="J23" s="1"/>
      <c r="K23" s="1"/>
      <c r="L23" s="1"/>
      <c r="M23" s="1"/>
    </row>
    <row r="24" spans="1:13" ht="23.1" customHeight="1">
      <c r="A24" s="1" t="str">
        <f>Объекты!A6</f>
        <v>Кафе7</v>
      </c>
      <c r="B24" s="3">
        <f>Объекты!D6</f>
        <v>1232119</v>
      </c>
      <c r="C24" s="1" t="str">
        <f>Объекты!A30</f>
        <v>Кафе15</v>
      </c>
      <c r="D24" s="3">
        <f>Объекты!D30</f>
        <v>-1167411</v>
      </c>
      <c r="E24" s="1"/>
      <c r="F24" s="1"/>
      <c r="G24" s="1"/>
      <c r="H24" s="1"/>
      <c r="I24" s="1"/>
      <c r="J24" s="1"/>
      <c r="K24" s="1"/>
      <c r="L24" s="1"/>
      <c r="M24" s="1"/>
    </row>
    <row r="25" spans="1:13" ht="23.1" customHeight="1">
      <c r="A25" s="1" t="str">
        <f>Объекты!A7</f>
        <v>Кафе9</v>
      </c>
      <c r="B25" s="3">
        <f>Объекты!D7</f>
        <v>1196544</v>
      </c>
      <c r="C25" s="1" t="str">
        <f>Объекты!A29</f>
        <v>Кафе20</v>
      </c>
      <c r="D25" s="3">
        <f>Объекты!D29</f>
        <v>-1163713</v>
      </c>
      <c r="E25" s="1"/>
      <c r="F25" s="1"/>
      <c r="G25" s="1"/>
      <c r="H25" s="1"/>
      <c r="I25" s="1"/>
      <c r="J25" s="1"/>
      <c r="K25" s="1"/>
      <c r="L25" s="1"/>
      <c r="M25" s="1"/>
    </row>
    <row r="26" spans="1:13" ht="23.1" customHeight="1">
      <c r="A26" s="1" t="str">
        <f>Объекты!A8</f>
        <v>Кафе8</v>
      </c>
      <c r="B26" s="3">
        <f>Объекты!D8</f>
        <v>1039674</v>
      </c>
      <c r="C26" s="1" t="str">
        <f>Объекты!A28</f>
        <v>Кафе19</v>
      </c>
      <c r="D26" s="3">
        <f>Объекты!D28</f>
        <v>-1140196</v>
      </c>
      <c r="E26" s="1"/>
      <c r="F26" s="1"/>
      <c r="G26" s="1"/>
      <c r="H26" s="1"/>
      <c r="I26" s="1"/>
      <c r="J26" s="1"/>
      <c r="K26" s="1"/>
      <c r="L26" s="1"/>
      <c r="M26" s="1"/>
    </row>
    <row r="27" spans="1:13" ht="23.1" customHeight="1">
      <c r="A27" s="1" t="str">
        <f>Объекты!A9</f>
        <v>Кафе23</v>
      </c>
      <c r="B27" s="3">
        <f>Объекты!D9</f>
        <v>176463</v>
      </c>
      <c r="C27" s="1" t="str">
        <f>Объекты!A27</f>
        <v>Кафе17</v>
      </c>
      <c r="D27" s="3">
        <f>Объекты!D27</f>
        <v>-1011654</v>
      </c>
      <c r="E27" s="1"/>
      <c r="F27" s="1"/>
      <c r="G27" s="1"/>
      <c r="H27" s="1"/>
      <c r="I27" s="1"/>
      <c r="J27" s="1"/>
      <c r="K27" s="1"/>
      <c r="L27" s="1"/>
      <c r="M27" s="1"/>
    </row>
    <row r="28" spans="1:13" ht="23.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23.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23.1" customHeight="1">
      <c r="A30" s="11" t="s">
        <v>16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 spans="1:13" ht="23.1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 spans="1:13" ht="23.1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 spans="1:13" ht="23.1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23.1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23.1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23.1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23.1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23.1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</sheetData>
  <mergeCells count="2">
    <mergeCell ref="A17:D19"/>
    <mergeCell ref="A30:M3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5" sqref="B5"/>
    </sheetView>
  </sheetViews>
  <sheetFormatPr defaultRowHeight="14.25"/>
  <cols>
    <col min="1" max="1" width="15" customWidth="1"/>
    <col min="2" max="16" width="19" customWidth="1"/>
  </cols>
  <sheetData>
    <row r="1" spans="1:16" ht="23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32.1" customHeight="1">
      <c r="A2" s="4" t="s">
        <v>17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23.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66" customHeight="1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25</v>
      </c>
      <c r="I4" s="2" t="s">
        <v>26</v>
      </c>
      <c r="J4" s="2" t="s">
        <v>27</v>
      </c>
      <c r="K4" s="2" t="s">
        <v>28</v>
      </c>
      <c r="L4" s="2" t="s">
        <v>29</v>
      </c>
      <c r="M4" s="2" t="s">
        <v>9</v>
      </c>
      <c r="N4" s="2" t="s">
        <v>10</v>
      </c>
      <c r="O4" s="2" t="s">
        <v>30</v>
      </c>
      <c r="P4" s="2" t="s">
        <v>31</v>
      </c>
    </row>
    <row r="5" spans="1:16" ht="23.1" customHeight="1">
      <c r="A5" s="1" t="s">
        <v>32</v>
      </c>
      <c r="B5" s="3">
        <f>SUMIFS(Данные!$D$2:$D$649,Данные!$A$2:$A$649,$A5,Данные!$B$2:$B$649,2018)</f>
        <v>3039876</v>
      </c>
      <c r="C5" s="3">
        <f>SUMIFS(Данные!$D$2:$D$649,Данные!$A$2:$A$649,$A5,Данные!$B$2:$B$649,2019)</f>
        <v>4379660.5</v>
      </c>
      <c r="D5" s="3">
        <f t="shared" ref="D5:D31" si="0">C5-B5</f>
        <v>1339784.5</v>
      </c>
      <c r="E5" s="5">
        <f t="shared" ref="E5:E32" si="1">D5/B5</f>
        <v>0.44073656293875146</v>
      </c>
      <c r="F5" s="6">
        <f>SUMIFS(Данные!$E$2:$E$649,Данные!$A$2:$A$649,$A5,Данные!$B$2:$B$649,2018)</f>
        <v>2491</v>
      </c>
      <c r="G5" s="6">
        <f>SUMIFS(Данные!$E$2:$E$649,Данные!$A$2:$A$649,$A5,Данные!$B$2:$B$649,2019)</f>
        <v>2552</v>
      </c>
      <c r="H5" s="6">
        <f t="shared" ref="H5:H31" si="2">G5-F5</f>
        <v>61</v>
      </c>
      <c r="I5" s="5">
        <f t="shared" ref="I5:I32" si="3">H5/F5</f>
        <v>2.4488157366519471E-2</v>
      </c>
      <c r="J5" s="3">
        <f t="shared" ref="J5:J32" si="4">B5/F5</f>
        <v>1220.3436370935367</v>
      </c>
      <c r="K5" s="3">
        <f t="shared" ref="K5:K32" si="5">C5/G5</f>
        <v>1716.1679075235111</v>
      </c>
      <c r="L5" s="5">
        <f t="shared" ref="L5:L32" si="6">K5/J5-1</f>
        <v>0.40629889431051347</v>
      </c>
      <c r="M5" s="3">
        <f t="shared" ref="M5:M31" si="7">H5*(J5+K5)/2</f>
        <v>89563.602110819949</v>
      </c>
      <c r="N5" s="3">
        <f t="shared" ref="N5:N31" si="8">(K5-J5)*(F5+G5)/2</f>
        <v>1250220.8978891803</v>
      </c>
      <c r="O5" s="3">
        <f t="shared" ref="O5:O31" si="9">ROUND(M5+N5-D5,8)</f>
        <v>0</v>
      </c>
      <c r="P5" s="3">
        <f t="shared" ref="P5:P31" si="10">D5/$B$32*100</f>
        <v>1.8133357785723301</v>
      </c>
    </row>
    <row r="6" spans="1:16" ht="23.1" customHeight="1">
      <c r="A6" s="1" t="s">
        <v>33</v>
      </c>
      <c r="B6" s="3">
        <f>SUMIFS(Данные!$D$2:$D$649,Данные!$A$2:$A$649,$A6,Данные!$B$2:$B$649,2018)</f>
        <v>2987726</v>
      </c>
      <c r="C6" s="3">
        <f>SUMIFS(Данные!$D$2:$D$649,Данные!$A$2:$A$649,$A6,Данные!$B$2:$B$649,2019)</f>
        <v>4219845</v>
      </c>
      <c r="D6" s="3">
        <f t="shared" si="0"/>
        <v>1232119</v>
      </c>
      <c r="E6" s="5">
        <f t="shared" si="1"/>
        <v>0.41239357290461037</v>
      </c>
      <c r="F6" s="6">
        <f>SUMIFS(Данные!$E$2:$E$649,Данные!$A$2:$A$649,$A6,Данные!$B$2:$B$649,2018)</f>
        <v>2459</v>
      </c>
      <c r="G6" s="6">
        <f>SUMIFS(Данные!$E$2:$E$649,Данные!$A$2:$A$649,$A6,Данные!$B$2:$B$649,2019)</f>
        <v>2509</v>
      </c>
      <c r="H6" s="6">
        <f t="shared" si="2"/>
        <v>50</v>
      </c>
      <c r="I6" s="5">
        <f t="shared" si="3"/>
        <v>2.0333468889792598E-2</v>
      </c>
      <c r="J6" s="3">
        <f t="shared" si="4"/>
        <v>1215.0166734444897</v>
      </c>
      <c r="K6" s="3">
        <f t="shared" si="5"/>
        <v>1681.8832204065366</v>
      </c>
      <c r="L6" s="5">
        <f t="shared" si="6"/>
        <v>0.38424702900455832</v>
      </c>
      <c r="M6" s="3">
        <f t="shared" si="7"/>
        <v>72422.497346275661</v>
      </c>
      <c r="N6" s="3">
        <f t="shared" si="8"/>
        <v>1159696.5026537245</v>
      </c>
      <c r="O6" s="3">
        <f t="shared" si="9"/>
        <v>0</v>
      </c>
      <c r="P6" s="3">
        <f t="shared" si="10"/>
        <v>1.6676155502312207</v>
      </c>
    </row>
    <row r="7" spans="1:16" ht="23.1" customHeight="1">
      <c r="A7" s="1" t="s">
        <v>34</v>
      </c>
      <c r="B7" s="3">
        <f>SUMIFS(Данные!$D$2:$D$649,Данные!$A$2:$A$649,$A7,Данные!$B$2:$B$649,2018)</f>
        <v>2917254</v>
      </c>
      <c r="C7" s="3">
        <f>SUMIFS(Данные!$D$2:$D$649,Данные!$A$2:$A$649,$A7,Данные!$B$2:$B$649,2019)</f>
        <v>4113798</v>
      </c>
      <c r="D7" s="3">
        <f t="shared" si="0"/>
        <v>1196544</v>
      </c>
      <c r="E7" s="5">
        <f t="shared" si="1"/>
        <v>0.41016106242377248</v>
      </c>
      <c r="F7" s="6">
        <f>SUMIFS(Данные!$E$2:$E$649,Данные!$A$2:$A$649,$A7,Данные!$B$2:$B$649,2018)</f>
        <v>2461</v>
      </c>
      <c r="G7" s="6">
        <f>SUMIFS(Данные!$E$2:$E$649,Данные!$A$2:$A$649,$A7,Данные!$B$2:$B$649,2019)</f>
        <v>2523</v>
      </c>
      <c r="H7" s="6">
        <f t="shared" si="2"/>
        <v>62</v>
      </c>
      <c r="I7" s="5">
        <f t="shared" si="3"/>
        <v>2.519301097114994E-2</v>
      </c>
      <c r="J7" s="3">
        <f t="shared" si="4"/>
        <v>1185.3937423811458</v>
      </c>
      <c r="K7" s="3">
        <f t="shared" si="5"/>
        <v>1630.5184304399525</v>
      </c>
      <c r="L7" s="5">
        <f t="shared" si="6"/>
        <v>0.37550787737808333</v>
      </c>
      <c r="M7" s="3">
        <f t="shared" si="7"/>
        <v>87293.277357454048</v>
      </c>
      <c r="N7" s="3">
        <f t="shared" si="8"/>
        <v>1109250.7226425463</v>
      </c>
      <c r="O7" s="3">
        <f t="shared" si="9"/>
        <v>0</v>
      </c>
      <c r="P7" s="3">
        <f t="shared" si="10"/>
        <v>1.6194664483997614</v>
      </c>
    </row>
    <row r="8" spans="1:16" ht="23.1" customHeight="1">
      <c r="A8" s="1" t="s">
        <v>35</v>
      </c>
      <c r="B8" s="3">
        <f>SUMIFS(Данные!$D$2:$D$649,Данные!$A$2:$A$649,$A8,Данные!$B$2:$B$649,2018)</f>
        <v>2354215</v>
      </c>
      <c r="C8" s="3">
        <f>SUMIFS(Данные!$D$2:$D$649,Данные!$A$2:$A$649,$A8,Данные!$B$2:$B$649,2019)</f>
        <v>3393889</v>
      </c>
      <c r="D8" s="3">
        <f t="shared" si="0"/>
        <v>1039674</v>
      </c>
      <c r="E8" s="5">
        <f t="shared" si="1"/>
        <v>0.44162236669123256</v>
      </c>
      <c r="F8" s="6">
        <f>SUMIFS(Данные!$E$2:$E$649,Данные!$A$2:$A$649,$A8,Данные!$B$2:$B$649,2018)</f>
        <v>2290</v>
      </c>
      <c r="G8" s="6">
        <f>SUMIFS(Данные!$E$2:$E$649,Данные!$A$2:$A$649,$A8,Данные!$B$2:$B$649,2019)</f>
        <v>2361</v>
      </c>
      <c r="H8" s="6">
        <f t="shared" si="2"/>
        <v>71</v>
      </c>
      <c r="I8" s="5">
        <f t="shared" si="3"/>
        <v>3.1004366812227076E-2</v>
      </c>
      <c r="J8" s="3">
        <f t="shared" si="4"/>
        <v>1028.0414847161571</v>
      </c>
      <c r="K8" s="3">
        <f t="shared" si="5"/>
        <v>1437.4794578568403</v>
      </c>
      <c r="L8" s="5">
        <f t="shared" si="6"/>
        <v>0.39826989399530821</v>
      </c>
      <c r="M8" s="3">
        <f t="shared" si="7"/>
        <v>87525.993461341408</v>
      </c>
      <c r="N8" s="3">
        <f t="shared" si="8"/>
        <v>952148.00653865875</v>
      </c>
      <c r="O8" s="3">
        <f t="shared" si="9"/>
        <v>0</v>
      </c>
      <c r="P8" s="3">
        <f t="shared" si="10"/>
        <v>1.4071502262128042</v>
      </c>
    </row>
    <row r="9" spans="1:16" ht="23.1" customHeight="1">
      <c r="A9" s="1" t="s">
        <v>36</v>
      </c>
      <c r="B9" s="3">
        <f>SUMIFS(Данные!$D$2:$D$649,Данные!$A$2:$A$649,$A9,Данные!$B$2:$B$649,2018)</f>
        <v>3661035</v>
      </c>
      <c r="C9" s="3">
        <f>SUMIFS(Данные!$D$2:$D$649,Данные!$A$2:$A$649,$A9,Данные!$B$2:$B$649,2019)</f>
        <v>3837498</v>
      </c>
      <c r="D9" s="3">
        <f t="shared" si="0"/>
        <v>176463</v>
      </c>
      <c r="E9" s="5">
        <f t="shared" si="1"/>
        <v>4.8200304012389936E-2</v>
      </c>
      <c r="F9" s="6">
        <f>SUMIFS(Данные!$E$2:$E$649,Данные!$A$2:$A$649,$A9,Данные!$B$2:$B$649,2018)</f>
        <v>2995</v>
      </c>
      <c r="G9" s="6">
        <f>SUMIFS(Данные!$E$2:$E$649,Данные!$A$2:$A$649,$A9,Данные!$B$2:$B$649,2019)</f>
        <v>3054</v>
      </c>
      <c r="H9" s="6">
        <f t="shared" si="2"/>
        <v>59</v>
      </c>
      <c r="I9" s="5">
        <f t="shared" si="3"/>
        <v>1.9699499165275459E-2</v>
      </c>
      <c r="J9" s="3">
        <f t="shared" si="4"/>
        <v>1222.3823038397329</v>
      </c>
      <c r="K9" s="3">
        <f t="shared" si="5"/>
        <v>1256.548133595285</v>
      </c>
      <c r="L9" s="5">
        <f t="shared" si="6"/>
        <v>2.7950199907370132E-2</v>
      </c>
      <c r="M9" s="3">
        <f t="shared" si="7"/>
        <v>73128.447904333021</v>
      </c>
      <c r="N9" s="3">
        <f t="shared" si="8"/>
        <v>103334.55209566723</v>
      </c>
      <c r="O9" s="3">
        <f t="shared" si="9"/>
        <v>0</v>
      </c>
      <c r="P9" s="3">
        <f t="shared" si="10"/>
        <v>0.23883443307054908</v>
      </c>
    </row>
    <row r="10" spans="1:16" ht="23.1" customHeight="1">
      <c r="A10" s="1" t="s">
        <v>37</v>
      </c>
      <c r="B10" s="3">
        <f>SUMIFS(Данные!$D$2:$D$649,Данные!$A$2:$A$649,$A10,Данные!$B$2:$B$649,2018)</f>
        <v>3013193</v>
      </c>
      <c r="C10" s="3">
        <f>SUMIFS(Данные!$D$2:$D$649,Данные!$A$2:$A$649,$A10,Данные!$B$2:$B$649,2019)</f>
        <v>3178364</v>
      </c>
      <c r="D10" s="3">
        <f t="shared" si="0"/>
        <v>165171</v>
      </c>
      <c r="E10" s="5">
        <f t="shared" si="1"/>
        <v>5.4815937777633231E-2</v>
      </c>
      <c r="F10" s="6">
        <f>SUMIFS(Данные!$E$2:$E$649,Данные!$A$2:$A$649,$A10,Данные!$B$2:$B$649,2018)</f>
        <v>2472</v>
      </c>
      <c r="G10" s="6">
        <f>SUMIFS(Данные!$E$2:$E$649,Данные!$A$2:$A$649,$A10,Данные!$B$2:$B$649,2019)</f>
        <v>2527</v>
      </c>
      <c r="H10" s="6">
        <f t="shared" si="2"/>
        <v>55</v>
      </c>
      <c r="I10" s="5">
        <f t="shared" si="3"/>
        <v>2.2249190938511326E-2</v>
      </c>
      <c r="J10" s="3">
        <f t="shared" si="4"/>
        <v>1218.929207119741</v>
      </c>
      <c r="K10" s="3">
        <f t="shared" si="5"/>
        <v>1257.7617728531857</v>
      </c>
      <c r="L10" s="5">
        <f t="shared" si="6"/>
        <v>3.1857933591733056E-2</v>
      </c>
      <c r="M10" s="3">
        <f t="shared" si="7"/>
        <v>68109.001949255471</v>
      </c>
      <c r="N10" s="3">
        <f t="shared" si="8"/>
        <v>97061.998050744907</v>
      </c>
      <c r="O10" s="3">
        <f t="shared" si="9"/>
        <v>0</v>
      </c>
      <c r="P10" s="3">
        <f t="shared" si="10"/>
        <v>0.22355123818985093</v>
      </c>
    </row>
    <row r="11" spans="1:16" ht="23.1" customHeight="1">
      <c r="A11" s="1" t="s">
        <v>38</v>
      </c>
      <c r="B11" s="3">
        <f>SUMIFS(Данные!$D$2:$D$649,Данные!$A$2:$A$649,$A11,Данные!$B$2:$B$649,2018)</f>
        <v>2743147</v>
      </c>
      <c r="C11" s="3">
        <f>SUMIFS(Данные!$D$2:$D$649,Данные!$A$2:$A$649,$A11,Данные!$B$2:$B$649,2019)</f>
        <v>2905609</v>
      </c>
      <c r="D11" s="3">
        <f t="shared" si="0"/>
        <v>162462</v>
      </c>
      <c r="E11" s="5">
        <f t="shared" si="1"/>
        <v>5.9224678808682145E-2</v>
      </c>
      <c r="F11" s="6">
        <f>SUMIFS(Данные!$E$2:$E$649,Данные!$A$2:$A$649,$A11,Данные!$B$2:$B$649,2018)</f>
        <v>2704</v>
      </c>
      <c r="G11" s="6">
        <f>SUMIFS(Данные!$E$2:$E$649,Данные!$A$2:$A$649,$A11,Данные!$B$2:$B$649,2019)</f>
        <v>2780</v>
      </c>
      <c r="H11" s="6">
        <f t="shared" si="2"/>
        <v>76</v>
      </c>
      <c r="I11" s="5">
        <f t="shared" si="3"/>
        <v>2.8106508875739646E-2</v>
      </c>
      <c r="J11" s="3">
        <f t="shared" si="4"/>
        <v>1014.4774408284023</v>
      </c>
      <c r="K11" s="3">
        <f t="shared" si="5"/>
        <v>1045.1830935251799</v>
      </c>
      <c r="L11" s="5">
        <f t="shared" si="6"/>
        <v>3.0267457373624573E-2</v>
      </c>
      <c r="M11" s="3">
        <f t="shared" si="7"/>
        <v>78267.100305436121</v>
      </c>
      <c r="N11" s="3">
        <f t="shared" si="8"/>
        <v>84194.899694563966</v>
      </c>
      <c r="O11" s="3">
        <f t="shared" si="9"/>
        <v>0</v>
      </c>
      <c r="P11" s="3">
        <f t="shared" si="10"/>
        <v>0.21988473314806814</v>
      </c>
    </row>
    <row r="12" spans="1:16" ht="23.1" customHeight="1">
      <c r="A12" s="1" t="s">
        <v>39</v>
      </c>
      <c r="B12" s="3">
        <f>SUMIFS(Данные!$D$2:$D$649,Данные!$A$2:$A$649,$A12,Данные!$B$2:$B$649,2018)</f>
        <v>3163052</v>
      </c>
      <c r="C12" s="3">
        <f>SUMIFS(Данные!$D$2:$D$649,Данные!$A$2:$A$649,$A12,Данные!$B$2:$B$649,2019)</f>
        <v>3324468</v>
      </c>
      <c r="D12" s="3">
        <f t="shared" si="0"/>
        <v>161416</v>
      </c>
      <c r="E12" s="5">
        <f t="shared" si="1"/>
        <v>5.1031725055421154E-2</v>
      </c>
      <c r="F12" s="6">
        <f>SUMIFS(Данные!$E$2:$E$649,Данные!$A$2:$A$649,$A12,Данные!$B$2:$B$649,2018)</f>
        <v>2565</v>
      </c>
      <c r="G12" s="6">
        <f>SUMIFS(Данные!$E$2:$E$649,Данные!$A$2:$A$649,$A12,Данные!$B$2:$B$649,2019)</f>
        <v>2620</v>
      </c>
      <c r="H12" s="6">
        <f t="shared" si="2"/>
        <v>55</v>
      </c>
      <c r="I12" s="5">
        <f t="shared" si="3"/>
        <v>2.1442495126705652E-2</v>
      </c>
      <c r="J12" s="3">
        <f t="shared" si="4"/>
        <v>1233.1586744639376</v>
      </c>
      <c r="K12" s="3">
        <f t="shared" si="5"/>
        <v>1268.8809160305343</v>
      </c>
      <c r="L12" s="5">
        <f t="shared" si="6"/>
        <v>2.8968081972196691E-2</v>
      </c>
      <c r="M12" s="3">
        <f t="shared" si="7"/>
        <v>68806.088738597973</v>
      </c>
      <c r="N12" s="3">
        <f t="shared" si="8"/>
        <v>92609.911261401998</v>
      </c>
      <c r="O12" s="3">
        <f t="shared" si="9"/>
        <v>0</v>
      </c>
      <c r="P12" s="3">
        <f t="shared" si="10"/>
        <v>0.21846902097615792</v>
      </c>
    </row>
    <row r="13" spans="1:16" ht="23.1" customHeight="1">
      <c r="A13" s="1" t="s">
        <v>40</v>
      </c>
      <c r="B13" s="3">
        <f>SUMIFS(Данные!$D$2:$D$649,Данные!$A$2:$A$649,$A13,Данные!$B$2:$B$649,2018)</f>
        <v>3018109</v>
      </c>
      <c r="C13" s="3">
        <f>SUMIFS(Данные!$D$2:$D$649,Данные!$A$2:$A$649,$A13,Данные!$B$2:$B$649,2019)</f>
        <v>3173162</v>
      </c>
      <c r="D13" s="3">
        <f t="shared" si="0"/>
        <v>155053</v>
      </c>
      <c r="E13" s="5">
        <f t="shared" si="1"/>
        <v>5.1374221408173132E-2</v>
      </c>
      <c r="F13" s="6">
        <f>SUMIFS(Данные!$E$2:$E$649,Данные!$A$2:$A$649,$A13,Данные!$B$2:$B$649,2018)</f>
        <v>2425</v>
      </c>
      <c r="G13" s="6">
        <f>SUMIFS(Данные!$E$2:$E$649,Данные!$A$2:$A$649,$A13,Данные!$B$2:$B$649,2019)</f>
        <v>2490</v>
      </c>
      <c r="H13" s="6">
        <f t="shared" si="2"/>
        <v>65</v>
      </c>
      <c r="I13" s="5">
        <f t="shared" si="3"/>
        <v>2.6804123711340205E-2</v>
      </c>
      <c r="J13" s="3">
        <f t="shared" si="4"/>
        <v>1244.5810309278349</v>
      </c>
      <c r="K13" s="3">
        <f t="shared" si="5"/>
        <v>1274.3622489959839</v>
      </c>
      <c r="L13" s="5">
        <f t="shared" si="6"/>
        <v>2.3928709604345455E-2</v>
      </c>
      <c r="M13" s="3">
        <f t="shared" si="7"/>
        <v>81865.65659752411</v>
      </c>
      <c r="N13" s="3">
        <f t="shared" si="8"/>
        <v>73187.343402476108</v>
      </c>
      <c r="O13" s="3">
        <f t="shared" si="9"/>
        <v>0</v>
      </c>
      <c r="P13" s="3">
        <f t="shared" si="10"/>
        <v>0.20985699750592388</v>
      </c>
    </row>
    <row r="14" spans="1:16" ht="23.1" customHeight="1">
      <c r="A14" s="1" t="s">
        <v>41</v>
      </c>
      <c r="B14" s="3">
        <f>SUMIFS(Данные!$D$2:$D$649,Данные!$A$2:$A$649,$A14,Данные!$B$2:$B$649,2018)</f>
        <v>2886954</v>
      </c>
      <c r="C14" s="3">
        <f>SUMIFS(Данные!$D$2:$D$649,Данные!$A$2:$A$649,$A14,Данные!$B$2:$B$649,2019)</f>
        <v>3040795</v>
      </c>
      <c r="D14" s="3">
        <f t="shared" si="0"/>
        <v>153841</v>
      </c>
      <c r="E14" s="5">
        <f t="shared" si="1"/>
        <v>5.32883447398192E-2</v>
      </c>
      <c r="F14" s="6">
        <f>SUMIFS(Данные!$E$2:$E$649,Данные!$A$2:$A$649,$A14,Данные!$B$2:$B$649,2018)</f>
        <v>2636</v>
      </c>
      <c r="G14" s="6">
        <f>SUMIFS(Данные!$E$2:$E$649,Данные!$A$2:$A$649,$A14,Данные!$B$2:$B$649,2019)</f>
        <v>2717</v>
      </c>
      <c r="H14" s="6">
        <f t="shared" si="2"/>
        <v>81</v>
      </c>
      <c r="I14" s="5">
        <f t="shared" si="3"/>
        <v>3.0728376327769348E-2</v>
      </c>
      <c r="J14" s="3">
        <f t="shared" si="4"/>
        <v>1095.2025796661608</v>
      </c>
      <c r="K14" s="3">
        <f t="shared" si="5"/>
        <v>1119.1737210158262</v>
      </c>
      <c r="L14" s="5">
        <f t="shared" si="6"/>
        <v>2.1887404024351742E-2</v>
      </c>
      <c r="M14" s="3">
        <f t="shared" si="7"/>
        <v>89682.240177620479</v>
      </c>
      <c r="N14" s="3">
        <f t="shared" si="8"/>
        <v>64158.759822379601</v>
      </c>
      <c r="O14" s="3">
        <f t="shared" si="9"/>
        <v>0</v>
      </c>
      <c r="P14" s="3">
        <f t="shared" si="10"/>
        <v>0.2082166120830222</v>
      </c>
    </row>
    <row r="15" spans="1:16" ht="23.1" customHeight="1">
      <c r="A15" s="1" t="s">
        <v>42</v>
      </c>
      <c r="B15" s="3">
        <f>SUMIFS(Данные!$D$2:$D$649,Данные!$A$2:$A$649,$A15,Данные!$B$2:$B$649,2018)</f>
        <v>2769222</v>
      </c>
      <c r="C15" s="3">
        <f>SUMIFS(Данные!$D$2:$D$649,Данные!$A$2:$A$649,$A15,Данные!$B$2:$B$649,2019)</f>
        <v>2920887</v>
      </c>
      <c r="D15" s="3">
        <f t="shared" si="0"/>
        <v>151665</v>
      </c>
      <c r="E15" s="5">
        <f t="shared" si="1"/>
        <v>5.4768090098951977E-2</v>
      </c>
      <c r="F15" s="6">
        <f>SUMIFS(Данные!$E$2:$E$649,Данные!$A$2:$A$649,$A15,Данные!$B$2:$B$649,2018)</f>
        <v>2383</v>
      </c>
      <c r="G15" s="6">
        <f>SUMIFS(Данные!$E$2:$E$649,Данные!$A$2:$A$649,$A15,Данные!$B$2:$B$649,2019)</f>
        <v>2447</v>
      </c>
      <c r="H15" s="6">
        <f t="shared" si="2"/>
        <v>64</v>
      </c>
      <c r="I15" s="5">
        <f t="shared" si="3"/>
        <v>2.6856903063365505E-2</v>
      </c>
      <c r="J15" s="3">
        <f t="shared" si="4"/>
        <v>1162.0738564834242</v>
      </c>
      <c r="K15" s="3">
        <f t="shared" si="5"/>
        <v>1193.6604004903963</v>
      </c>
      <c r="L15" s="5">
        <f t="shared" si="6"/>
        <v>2.7181184595751029E-2</v>
      </c>
      <c r="M15" s="3">
        <f t="shared" si="7"/>
        <v>75383.496223162248</v>
      </c>
      <c r="N15" s="3">
        <f t="shared" si="8"/>
        <v>76281.503776837839</v>
      </c>
      <c r="O15" s="3">
        <f t="shared" si="9"/>
        <v>0</v>
      </c>
      <c r="P15" s="3">
        <f t="shared" si="10"/>
        <v>0.20527149766038674</v>
      </c>
    </row>
    <row r="16" spans="1:16" ht="23.1" customHeight="1">
      <c r="A16" s="1" t="s">
        <v>43</v>
      </c>
      <c r="B16" s="3">
        <f>SUMIFS(Данные!$D$2:$D$649,Данные!$A$2:$A$649,$A16,Данные!$B$2:$B$649,2018)</f>
        <v>3013396</v>
      </c>
      <c r="C16" s="3">
        <f>SUMIFS(Данные!$D$2:$D$649,Данные!$A$2:$A$649,$A16,Данные!$B$2:$B$649,2019)</f>
        <v>3163217</v>
      </c>
      <c r="D16" s="3">
        <f t="shared" si="0"/>
        <v>149821</v>
      </c>
      <c r="E16" s="5">
        <f t="shared" si="1"/>
        <v>4.9718324441925324E-2</v>
      </c>
      <c r="F16" s="6">
        <f>SUMIFS(Данные!$E$2:$E$649,Данные!$A$2:$A$649,$A16,Данные!$B$2:$B$649,2018)</f>
        <v>2648</v>
      </c>
      <c r="G16" s="6">
        <f>SUMIFS(Данные!$E$2:$E$649,Данные!$A$2:$A$649,$A16,Данные!$B$2:$B$649,2019)</f>
        <v>2715</v>
      </c>
      <c r="H16" s="6">
        <f t="shared" si="2"/>
        <v>67</v>
      </c>
      <c r="I16" s="5">
        <f t="shared" si="3"/>
        <v>2.5302114803625379E-2</v>
      </c>
      <c r="J16" s="3">
        <f t="shared" si="4"/>
        <v>1137.9894259818732</v>
      </c>
      <c r="K16" s="3">
        <f t="shared" si="5"/>
        <v>1165.0891344383058</v>
      </c>
      <c r="L16" s="5">
        <f t="shared" si="6"/>
        <v>2.381367334151685E-2</v>
      </c>
      <c r="M16" s="3">
        <f t="shared" si="7"/>
        <v>77153.131774075999</v>
      </c>
      <c r="N16" s="3">
        <f t="shared" si="8"/>
        <v>72667.868225924045</v>
      </c>
      <c r="O16" s="3">
        <f t="shared" si="9"/>
        <v>0</v>
      </c>
      <c r="P16" s="3">
        <f t="shared" si="10"/>
        <v>0.20277572973973432</v>
      </c>
    </row>
    <row r="17" spans="1:16" ht="23.1" customHeight="1">
      <c r="A17" s="1" t="s">
        <v>44</v>
      </c>
      <c r="B17" s="3">
        <f>SUMIFS(Данные!$D$2:$D$649,Данные!$A$2:$A$649,$A17,Данные!$B$2:$B$649,2018)</f>
        <v>2759055</v>
      </c>
      <c r="C17" s="3">
        <f>SUMIFS(Данные!$D$2:$D$649,Данные!$A$2:$A$649,$A17,Данные!$B$2:$B$649,2019)</f>
        <v>2908854</v>
      </c>
      <c r="D17" s="3">
        <f t="shared" si="0"/>
        <v>149799</v>
      </c>
      <c r="E17" s="5">
        <f t="shared" si="1"/>
        <v>5.4293589652979007E-2</v>
      </c>
      <c r="F17" s="6">
        <f>SUMIFS(Данные!$E$2:$E$649,Данные!$A$2:$A$649,$A17,Данные!$B$2:$B$649,2018)</f>
        <v>2448</v>
      </c>
      <c r="G17" s="6">
        <f>SUMIFS(Данные!$E$2:$E$649,Данные!$A$2:$A$649,$A17,Данные!$B$2:$B$649,2019)</f>
        <v>2522</v>
      </c>
      <c r="H17" s="6">
        <f t="shared" si="2"/>
        <v>74</v>
      </c>
      <c r="I17" s="5">
        <f t="shared" si="3"/>
        <v>3.0228758169934641E-2</v>
      </c>
      <c r="J17" s="3">
        <f t="shared" si="4"/>
        <v>1127.0649509803923</v>
      </c>
      <c r="K17" s="3">
        <f t="shared" si="5"/>
        <v>1153.3917525773195</v>
      </c>
      <c r="L17" s="5">
        <f t="shared" si="6"/>
        <v>2.3358726197657553E-2</v>
      </c>
      <c r="M17" s="3">
        <f t="shared" si="7"/>
        <v>84376.898031635341</v>
      </c>
      <c r="N17" s="3">
        <f t="shared" si="8"/>
        <v>65422.101968364157</v>
      </c>
      <c r="O17" s="3">
        <f t="shared" si="9"/>
        <v>0</v>
      </c>
      <c r="P17" s="3">
        <f t="shared" si="10"/>
        <v>0.20274595376671131</v>
      </c>
    </row>
    <row r="18" spans="1:16" ht="23.1" customHeight="1">
      <c r="A18" s="1" t="s">
        <v>45</v>
      </c>
      <c r="B18" s="3">
        <f>SUMIFS(Данные!$D$2:$D$649,Данные!$A$2:$A$649,$A18,Данные!$B$2:$B$649,2018)</f>
        <v>2854593</v>
      </c>
      <c r="C18" s="3">
        <f>SUMIFS(Данные!$D$2:$D$649,Данные!$A$2:$A$649,$A18,Данные!$B$2:$B$649,2019)</f>
        <v>3002686</v>
      </c>
      <c r="D18" s="3">
        <f t="shared" si="0"/>
        <v>148093</v>
      </c>
      <c r="E18" s="5">
        <f t="shared" si="1"/>
        <v>5.1878849279039081E-2</v>
      </c>
      <c r="F18" s="6">
        <f>SUMIFS(Данные!$E$2:$E$649,Данные!$A$2:$A$649,$A18,Данные!$B$2:$B$649,2018)</f>
        <v>2548</v>
      </c>
      <c r="G18" s="6">
        <f>SUMIFS(Данные!$E$2:$E$649,Данные!$A$2:$A$649,$A18,Данные!$B$2:$B$649,2019)</f>
        <v>2617</v>
      </c>
      <c r="H18" s="6">
        <f t="shared" si="2"/>
        <v>69</v>
      </c>
      <c r="I18" s="5">
        <f t="shared" si="3"/>
        <v>2.7080062794348509E-2</v>
      </c>
      <c r="J18" s="3">
        <f t="shared" si="4"/>
        <v>1120.3269230769231</v>
      </c>
      <c r="K18" s="3">
        <f t="shared" si="5"/>
        <v>1147.3771494077187</v>
      </c>
      <c r="L18" s="5">
        <f t="shared" si="6"/>
        <v>2.4144939993500758E-2</v>
      </c>
      <c r="M18" s="3">
        <f t="shared" si="7"/>
        <v>78235.790500720148</v>
      </c>
      <c r="N18" s="3">
        <f t="shared" si="8"/>
        <v>69857.209499279546</v>
      </c>
      <c r="O18" s="3">
        <f t="shared" si="9"/>
        <v>0</v>
      </c>
      <c r="P18" s="3">
        <f t="shared" si="10"/>
        <v>0.20043696240411207</v>
      </c>
    </row>
    <row r="19" spans="1:16" ht="23.1" customHeight="1">
      <c r="A19" s="1" t="s">
        <v>46</v>
      </c>
      <c r="B19" s="3">
        <f>SUMIFS(Данные!$D$2:$D$649,Данные!$A$2:$A$649,$A19,Данные!$B$2:$B$649,2018)</f>
        <v>2660180</v>
      </c>
      <c r="C19" s="3">
        <f>SUMIFS(Данные!$D$2:$D$649,Данные!$A$2:$A$649,$A19,Данные!$B$2:$B$649,2019)</f>
        <v>2802615</v>
      </c>
      <c r="D19" s="3">
        <f t="shared" si="0"/>
        <v>142435</v>
      </c>
      <c r="E19" s="5">
        <f t="shared" si="1"/>
        <v>5.3543369245690142E-2</v>
      </c>
      <c r="F19" s="6">
        <f>SUMIFS(Данные!$E$2:$E$649,Данные!$A$2:$A$649,$A19,Данные!$B$2:$B$649,2018)</f>
        <v>2215</v>
      </c>
      <c r="G19" s="6">
        <f>SUMIFS(Данные!$E$2:$E$649,Данные!$A$2:$A$649,$A19,Данные!$B$2:$B$649,2019)</f>
        <v>2272</v>
      </c>
      <c r="H19" s="6">
        <f t="shared" si="2"/>
        <v>57</v>
      </c>
      <c r="I19" s="5">
        <f t="shared" si="3"/>
        <v>2.5733634311512415E-2</v>
      </c>
      <c r="J19" s="3">
        <f t="shared" si="4"/>
        <v>1200.9841986455981</v>
      </c>
      <c r="K19" s="3">
        <f t="shared" si="5"/>
        <v>1233.5453345070423</v>
      </c>
      <c r="L19" s="5">
        <f t="shared" si="6"/>
        <v>2.7112043520776341E-2</v>
      </c>
      <c r="M19" s="3">
        <f t="shared" si="7"/>
        <v>69384.091694850256</v>
      </c>
      <c r="N19" s="3">
        <f t="shared" si="8"/>
        <v>73050.908305150064</v>
      </c>
      <c r="O19" s="3">
        <f t="shared" si="9"/>
        <v>0</v>
      </c>
      <c r="P19" s="3">
        <f t="shared" si="10"/>
        <v>0.19277912352393228</v>
      </c>
    </row>
    <row r="20" spans="1:16" ht="23.1" customHeight="1">
      <c r="A20" s="1" t="s">
        <v>47</v>
      </c>
      <c r="B20" s="3">
        <f>SUMIFS(Данные!$D$2:$D$649,Данные!$A$2:$A$649,$A20,Данные!$B$2:$B$649,2018)</f>
        <v>2867484</v>
      </c>
      <c r="C20" s="3">
        <f>SUMIFS(Данные!$D$2:$D$649,Данные!$A$2:$A$649,$A20,Данные!$B$2:$B$649,2019)</f>
        <v>3008299</v>
      </c>
      <c r="D20" s="3">
        <f t="shared" si="0"/>
        <v>140815</v>
      </c>
      <c r="E20" s="5">
        <f t="shared" si="1"/>
        <v>4.9107510277302334E-2</v>
      </c>
      <c r="F20" s="6">
        <f>SUMIFS(Данные!$E$2:$E$649,Данные!$A$2:$A$649,$A20,Данные!$B$2:$B$649,2018)</f>
        <v>2555</v>
      </c>
      <c r="G20" s="6">
        <f>SUMIFS(Данные!$E$2:$E$649,Данные!$A$2:$A$649,$A20,Данные!$B$2:$B$649,2019)</f>
        <v>2625</v>
      </c>
      <c r="H20" s="6">
        <f t="shared" si="2"/>
        <v>70</v>
      </c>
      <c r="I20" s="5">
        <f t="shared" si="3"/>
        <v>2.7397260273972601E-2</v>
      </c>
      <c r="J20" s="3">
        <f t="shared" si="4"/>
        <v>1122.3029354207436</v>
      </c>
      <c r="K20" s="3">
        <f t="shared" si="5"/>
        <v>1146.0186666666666</v>
      </c>
      <c r="L20" s="5">
        <f t="shared" si="6"/>
        <v>2.1131310003240866E-2</v>
      </c>
      <c r="M20" s="3">
        <f t="shared" si="7"/>
        <v>79391.256073059354</v>
      </c>
      <c r="N20" s="3">
        <f t="shared" si="8"/>
        <v>61423.743926940704</v>
      </c>
      <c r="O20" s="3">
        <f t="shared" si="9"/>
        <v>0</v>
      </c>
      <c r="P20" s="3">
        <f t="shared" si="10"/>
        <v>0.19058652914678639</v>
      </c>
    </row>
    <row r="21" spans="1:16" ht="23.1" customHeight="1">
      <c r="A21" s="1" t="s">
        <v>48</v>
      </c>
      <c r="B21" s="3">
        <f>SUMIFS(Данные!$D$2:$D$649,Данные!$A$2:$A$649,$A21,Данные!$B$2:$B$649,2018)</f>
        <v>2536679</v>
      </c>
      <c r="C21" s="3">
        <f>SUMIFS(Данные!$D$2:$D$649,Данные!$A$2:$A$649,$A21,Данные!$B$2:$B$649,2019)</f>
        <v>2673938</v>
      </c>
      <c r="D21" s="3">
        <f t="shared" si="0"/>
        <v>137259</v>
      </c>
      <c r="E21" s="5">
        <f t="shared" si="1"/>
        <v>5.4109723776638669E-2</v>
      </c>
      <c r="F21" s="6">
        <f>SUMIFS(Данные!$E$2:$E$649,Данные!$A$2:$A$649,$A21,Данные!$B$2:$B$649,2018)</f>
        <v>2224</v>
      </c>
      <c r="G21" s="6">
        <f>SUMIFS(Данные!$E$2:$E$649,Данные!$A$2:$A$649,$A21,Данные!$B$2:$B$649,2019)</f>
        <v>2275</v>
      </c>
      <c r="H21" s="6">
        <f t="shared" si="2"/>
        <v>51</v>
      </c>
      <c r="I21" s="5">
        <f t="shared" si="3"/>
        <v>2.2931654676258992E-2</v>
      </c>
      <c r="J21" s="3">
        <f t="shared" si="4"/>
        <v>1140.5930755395684</v>
      </c>
      <c r="K21" s="3">
        <f t="shared" si="5"/>
        <v>1175.3573626373627</v>
      </c>
      <c r="L21" s="5">
        <f t="shared" si="6"/>
        <v>3.047913216670084E-2</v>
      </c>
      <c r="M21" s="3">
        <f t="shared" si="7"/>
        <v>59056.736173511745</v>
      </c>
      <c r="N21" s="3">
        <f t="shared" si="8"/>
        <v>78202.26382648827</v>
      </c>
      <c r="O21" s="3">
        <f t="shared" si="9"/>
        <v>0</v>
      </c>
      <c r="P21" s="3">
        <f t="shared" si="10"/>
        <v>0.18577364914361935</v>
      </c>
    </row>
    <row r="22" spans="1:16" ht="23.1" customHeight="1">
      <c r="A22" s="1" t="s">
        <v>49</v>
      </c>
      <c r="B22" s="3">
        <f>SUMIFS(Данные!$D$2:$D$649,Данные!$A$2:$A$649,$A22,Данные!$B$2:$B$649,2018)</f>
        <v>2383035</v>
      </c>
      <c r="C22" s="3">
        <f>SUMIFS(Данные!$D$2:$D$649,Данные!$A$2:$A$649,$A22,Данные!$B$2:$B$649,2019)</f>
        <v>2512538</v>
      </c>
      <c r="D22" s="3">
        <f t="shared" si="0"/>
        <v>129503</v>
      </c>
      <c r="E22" s="5">
        <f t="shared" si="1"/>
        <v>5.4343725543267302E-2</v>
      </c>
      <c r="F22" s="6">
        <f>SUMIFS(Данные!$E$2:$E$649,Данные!$A$2:$A$649,$A22,Данные!$B$2:$B$649,2018)</f>
        <v>2258</v>
      </c>
      <c r="G22" s="6">
        <f>SUMIFS(Данные!$E$2:$E$649,Данные!$A$2:$A$649,$A22,Данные!$B$2:$B$649,2019)</f>
        <v>2310</v>
      </c>
      <c r="H22" s="6">
        <f t="shared" si="2"/>
        <v>52</v>
      </c>
      <c r="I22" s="5">
        <f t="shared" si="3"/>
        <v>2.3029229406554472E-2</v>
      </c>
      <c r="J22" s="3">
        <f t="shared" si="4"/>
        <v>1055.3742249778566</v>
      </c>
      <c r="K22" s="3">
        <f t="shared" si="5"/>
        <v>1087.6787878787879</v>
      </c>
      <c r="L22" s="5">
        <f t="shared" si="6"/>
        <v>3.0609581072163383E-2</v>
      </c>
      <c r="M22" s="3">
        <f t="shared" si="7"/>
        <v>55719.378334272755</v>
      </c>
      <c r="N22" s="3">
        <f t="shared" si="8"/>
        <v>73783.621665727289</v>
      </c>
      <c r="O22" s="3">
        <f t="shared" si="9"/>
        <v>0</v>
      </c>
      <c r="P22" s="3">
        <f t="shared" si="10"/>
        <v>0.17527626519970371</v>
      </c>
    </row>
    <row r="23" spans="1:16" ht="23.1" customHeight="1">
      <c r="A23" s="1" t="s">
        <v>50</v>
      </c>
      <c r="B23" s="3">
        <f>SUMIFS(Данные!$D$2:$D$649,Данные!$A$2:$A$649,$A23,Данные!$B$2:$B$649,2018)</f>
        <v>2230768</v>
      </c>
      <c r="C23" s="3">
        <f>SUMIFS(Данные!$D$2:$D$649,Данные!$A$2:$A$649,$A23,Данные!$B$2:$B$649,2019)</f>
        <v>2355411</v>
      </c>
      <c r="D23" s="3">
        <f t="shared" si="0"/>
        <v>124643</v>
      </c>
      <c r="E23" s="5">
        <f t="shared" si="1"/>
        <v>5.5874479103160887E-2</v>
      </c>
      <c r="F23" s="6">
        <f>SUMIFS(Данные!$E$2:$E$649,Данные!$A$2:$A$649,$A23,Данные!$B$2:$B$649,2018)</f>
        <v>2151</v>
      </c>
      <c r="G23" s="6">
        <f>SUMIFS(Данные!$E$2:$E$649,Данные!$A$2:$A$649,$A23,Данные!$B$2:$B$649,2019)</f>
        <v>2193</v>
      </c>
      <c r="H23" s="6">
        <f t="shared" si="2"/>
        <v>42</v>
      </c>
      <c r="I23" s="5">
        <f t="shared" si="3"/>
        <v>1.9525801952580194E-2</v>
      </c>
      <c r="J23" s="3">
        <f t="shared" si="4"/>
        <v>1037.0841469084146</v>
      </c>
      <c r="K23" s="3">
        <f t="shared" si="5"/>
        <v>1074.0588235294117</v>
      </c>
      <c r="L23" s="5">
        <f t="shared" si="6"/>
        <v>3.5652532854947072E-2</v>
      </c>
      <c r="M23" s="3">
        <f t="shared" si="7"/>
        <v>44334.002379194346</v>
      </c>
      <c r="N23" s="3">
        <f t="shared" si="8"/>
        <v>80308.997620805734</v>
      </c>
      <c r="O23" s="3">
        <f t="shared" si="9"/>
        <v>0</v>
      </c>
      <c r="P23" s="3">
        <f t="shared" si="10"/>
        <v>0.16869848206826615</v>
      </c>
    </row>
    <row r="24" spans="1:16" ht="23.1" customHeight="1">
      <c r="A24" s="1" t="s">
        <v>51</v>
      </c>
      <c r="B24" s="3">
        <f>SUMIFS(Данные!$D$2:$D$649,Данные!$A$2:$A$649,$A24,Данные!$B$2:$B$649,2018)</f>
        <v>2242183</v>
      </c>
      <c r="C24" s="3">
        <f>SUMIFS(Данные!$D$2:$D$649,Данные!$A$2:$A$649,$A24,Данные!$B$2:$B$649,2019)</f>
        <v>2361782</v>
      </c>
      <c r="D24" s="3">
        <f t="shared" si="0"/>
        <v>119599</v>
      </c>
      <c r="E24" s="5">
        <f t="shared" si="1"/>
        <v>5.3340427610056806E-2</v>
      </c>
      <c r="F24" s="6">
        <f>SUMIFS(Данные!$E$2:$E$649,Данные!$A$2:$A$649,$A24,Данные!$B$2:$B$649,2018)</f>
        <v>2091</v>
      </c>
      <c r="G24" s="6">
        <f>SUMIFS(Данные!$E$2:$E$649,Данные!$A$2:$A$649,$A24,Данные!$B$2:$B$649,2019)</f>
        <v>2148</v>
      </c>
      <c r="H24" s="6">
        <f t="shared" si="2"/>
        <v>57</v>
      </c>
      <c r="I24" s="5">
        <f t="shared" si="3"/>
        <v>2.7259684361549498E-2</v>
      </c>
      <c r="J24" s="3">
        <f t="shared" si="4"/>
        <v>1072.3017694882831</v>
      </c>
      <c r="K24" s="3">
        <f t="shared" si="5"/>
        <v>1099.5260707635009</v>
      </c>
      <c r="L24" s="5">
        <f t="shared" si="6"/>
        <v>2.5388656486326378E-2</v>
      </c>
      <c r="M24" s="3">
        <f t="shared" si="7"/>
        <v>61897.093447175845</v>
      </c>
      <c r="N24" s="3">
        <f t="shared" si="8"/>
        <v>57701.906552824214</v>
      </c>
      <c r="O24" s="3">
        <f t="shared" si="9"/>
        <v>0</v>
      </c>
      <c r="P24" s="3">
        <f t="shared" si="10"/>
        <v>0.16187166352609103</v>
      </c>
    </row>
    <row r="25" spans="1:16" ht="23.1" customHeight="1">
      <c r="A25" s="1" t="s">
        <v>52</v>
      </c>
      <c r="B25" s="3">
        <f>SUMIFS(Данные!$D$2:$D$649,Данные!$A$2:$A$649,$A25,Данные!$B$2:$B$649,2018)</f>
        <v>2604527</v>
      </c>
      <c r="C25" s="3">
        <f>SUMIFS(Данные!$D$2:$D$649,Данные!$A$2:$A$649,$A25,Данные!$B$2:$B$649,2019)</f>
        <v>2718450</v>
      </c>
      <c r="D25" s="3">
        <f t="shared" si="0"/>
        <v>113923</v>
      </c>
      <c r="E25" s="5">
        <f t="shared" si="1"/>
        <v>4.3740379731137362E-2</v>
      </c>
      <c r="F25" s="6">
        <f>SUMIFS(Данные!$E$2:$E$649,Данные!$A$2:$A$649,$A25,Данные!$B$2:$B$649,2018)</f>
        <v>2588</v>
      </c>
      <c r="G25" s="6">
        <f>SUMIFS(Данные!$E$2:$E$649,Данные!$A$2:$A$649,$A25,Данные!$B$2:$B$649,2019)</f>
        <v>2659</v>
      </c>
      <c r="H25" s="6">
        <f t="shared" si="2"/>
        <v>71</v>
      </c>
      <c r="I25" s="5">
        <f t="shared" si="3"/>
        <v>2.7434312210200928E-2</v>
      </c>
      <c r="J25" s="3">
        <f t="shared" si="4"/>
        <v>1006.3860123647604</v>
      </c>
      <c r="K25" s="3">
        <f t="shared" si="5"/>
        <v>1022.3580293343363</v>
      </c>
      <c r="L25" s="5">
        <f t="shared" si="6"/>
        <v>1.5870666695819269E-2</v>
      </c>
      <c r="M25" s="3">
        <f t="shared" si="7"/>
        <v>72020.413480317933</v>
      </c>
      <c r="N25" s="3">
        <f t="shared" si="8"/>
        <v>41902.586519682271</v>
      </c>
      <c r="O25" s="3">
        <f t="shared" si="9"/>
        <v>0</v>
      </c>
      <c r="P25" s="3">
        <f t="shared" si="10"/>
        <v>0.15418946248616516</v>
      </c>
    </row>
    <row r="26" spans="1:16" ht="23.1" customHeight="1">
      <c r="A26" s="1" t="s">
        <v>53</v>
      </c>
      <c r="B26" s="3">
        <f>SUMIFS(Данные!$D$2:$D$649,Данные!$A$2:$A$649,$A26,Данные!$B$2:$B$649,2018)</f>
        <v>2186830</v>
      </c>
      <c r="C26" s="3">
        <f>SUMIFS(Данные!$D$2:$D$649,Данные!$A$2:$A$649,$A26,Данные!$B$2:$B$649,2019)</f>
        <v>1255793</v>
      </c>
      <c r="D26" s="3">
        <f t="shared" si="0"/>
        <v>-931037</v>
      </c>
      <c r="E26" s="5">
        <f t="shared" si="1"/>
        <v>-0.42574731460607362</v>
      </c>
      <c r="F26" s="6">
        <f>SUMIFS(Данные!$E$2:$E$649,Данные!$A$2:$A$649,$A26,Данные!$B$2:$B$649,2018)</f>
        <v>2341</v>
      </c>
      <c r="G26" s="6">
        <f>SUMIFS(Данные!$E$2:$E$649,Данные!$A$2:$A$649,$A26,Данные!$B$2:$B$649,2019)</f>
        <v>1326</v>
      </c>
      <c r="H26" s="6">
        <f t="shared" si="2"/>
        <v>-1015</v>
      </c>
      <c r="I26" s="5">
        <f t="shared" si="3"/>
        <v>-0.4335753951302862</v>
      </c>
      <c r="J26" s="3">
        <f t="shared" si="4"/>
        <v>934.14352840666379</v>
      </c>
      <c r="K26" s="3">
        <f t="shared" si="5"/>
        <v>947.053544494721</v>
      </c>
      <c r="L26" s="5">
        <f t="shared" si="6"/>
        <v>1.3820163278417619E-2</v>
      </c>
      <c r="M26" s="3">
        <f t="shared" si="7"/>
        <v>-954707.51449745276</v>
      </c>
      <c r="N26" s="3">
        <f t="shared" si="8"/>
        <v>23670.514497452885</v>
      </c>
      <c r="O26" s="3">
        <f t="shared" si="9"/>
        <v>0</v>
      </c>
      <c r="P26" s="3">
        <f t="shared" si="10"/>
        <v>-1.2601151179720667</v>
      </c>
    </row>
    <row r="27" spans="1:16" ht="23.1" customHeight="1">
      <c r="A27" s="1" t="s">
        <v>54</v>
      </c>
      <c r="B27" s="3">
        <f>SUMIFS(Данные!$D$2:$D$649,Данные!$A$2:$A$649,$A27,Данные!$B$2:$B$649,2018)</f>
        <v>2366699</v>
      </c>
      <c r="C27" s="3">
        <f>SUMIFS(Данные!$D$2:$D$649,Данные!$A$2:$A$649,$A27,Данные!$B$2:$B$649,2019)</f>
        <v>1355045</v>
      </c>
      <c r="D27" s="3">
        <f t="shared" si="0"/>
        <v>-1011654</v>
      </c>
      <c r="E27" s="5">
        <f t="shared" si="1"/>
        <v>-0.42745359676072031</v>
      </c>
      <c r="F27" s="6">
        <f>SUMIFS(Данные!$E$2:$E$649,Данные!$A$2:$A$649,$A27,Данные!$B$2:$B$649,2018)</f>
        <v>2373</v>
      </c>
      <c r="G27" s="6">
        <f>SUMIFS(Данные!$E$2:$E$649,Данные!$A$2:$A$649,$A27,Данные!$B$2:$B$649,2019)</f>
        <v>1341</v>
      </c>
      <c r="H27" s="6">
        <f t="shared" si="2"/>
        <v>-1032</v>
      </c>
      <c r="I27" s="5">
        <f t="shared" si="3"/>
        <v>-0.43489254108723135</v>
      </c>
      <c r="J27" s="3">
        <f t="shared" si="4"/>
        <v>997.3447113358618</v>
      </c>
      <c r="K27" s="3">
        <f t="shared" si="5"/>
        <v>1010.4735272184937</v>
      </c>
      <c r="L27" s="5">
        <f t="shared" si="6"/>
        <v>1.3163769490537547E-2</v>
      </c>
      <c r="M27" s="3">
        <f t="shared" si="7"/>
        <v>-1036034.2110940474</v>
      </c>
      <c r="N27" s="3">
        <f t="shared" si="8"/>
        <v>24380.211094047434</v>
      </c>
      <c r="O27" s="3">
        <f t="shared" si="9"/>
        <v>0</v>
      </c>
      <c r="P27" s="3">
        <f t="shared" si="10"/>
        <v>-1.3692264642080962</v>
      </c>
    </row>
    <row r="28" spans="1:16" ht="23.1" customHeight="1">
      <c r="A28" s="1" t="s">
        <v>55</v>
      </c>
      <c r="B28" s="3">
        <f>SUMIFS(Данные!$D$2:$D$649,Данные!$A$2:$A$649,$A28,Данные!$B$2:$B$649,2018)</f>
        <v>2554371</v>
      </c>
      <c r="C28" s="3">
        <f>SUMIFS(Данные!$D$2:$D$649,Данные!$A$2:$A$649,$A28,Данные!$B$2:$B$649,2019)</f>
        <v>1414175</v>
      </c>
      <c r="D28" s="3">
        <f t="shared" si="0"/>
        <v>-1140196</v>
      </c>
      <c r="E28" s="5">
        <f t="shared" si="1"/>
        <v>-0.44637055462969161</v>
      </c>
      <c r="F28" s="6">
        <f>SUMIFS(Данные!$E$2:$E$649,Данные!$A$2:$A$649,$A28,Данные!$B$2:$B$649,2018)</f>
        <v>2487</v>
      </c>
      <c r="G28" s="6">
        <f>SUMIFS(Данные!$E$2:$E$649,Данные!$A$2:$A$649,$A28,Данные!$B$2:$B$649,2019)</f>
        <v>1385</v>
      </c>
      <c r="H28" s="6">
        <f t="shared" si="2"/>
        <v>-1102</v>
      </c>
      <c r="I28" s="5">
        <f t="shared" si="3"/>
        <v>-0.44310414153598715</v>
      </c>
      <c r="J28" s="3">
        <f t="shared" si="4"/>
        <v>1027.0892641737032</v>
      </c>
      <c r="K28" s="3">
        <f t="shared" si="5"/>
        <v>1021.0649819494585</v>
      </c>
      <c r="L28" s="5">
        <f t="shared" si="6"/>
        <v>-5.8653930426303402E-3</v>
      </c>
      <c r="M28" s="3">
        <f t="shared" si="7"/>
        <v>-1128532.989613862</v>
      </c>
      <c r="N28" s="3">
        <f t="shared" si="8"/>
        <v>-11663.01038613785</v>
      </c>
      <c r="O28" s="3">
        <f t="shared" si="9"/>
        <v>0</v>
      </c>
      <c r="P28" s="3">
        <f t="shared" si="10"/>
        <v>-1.5432020607680239</v>
      </c>
    </row>
    <row r="29" spans="1:16" ht="23.1" customHeight="1">
      <c r="A29" s="1" t="s">
        <v>56</v>
      </c>
      <c r="B29" s="3">
        <f>SUMIFS(Данные!$D$2:$D$649,Данные!$A$2:$A$649,$A29,Данные!$B$2:$B$649,2018)</f>
        <v>2531585</v>
      </c>
      <c r="C29" s="3">
        <f>SUMIFS(Данные!$D$2:$D$649,Данные!$A$2:$A$649,$A29,Данные!$B$2:$B$649,2019)</f>
        <v>1367872</v>
      </c>
      <c r="D29" s="3">
        <f t="shared" si="0"/>
        <v>-1163713</v>
      </c>
      <c r="E29" s="5">
        <f t="shared" si="1"/>
        <v>-0.45967763278736445</v>
      </c>
      <c r="F29" s="6">
        <f>SUMIFS(Данные!$E$2:$E$649,Данные!$A$2:$A$649,$A29,Данные!$B$2:$B$649,2018)</f>
        <v>2310</v>
      </c>
      <c r="G29" s="6">
        <f>SUMIFS(Данные!$E$2:$E$649,Данные!$A$2:$A$649,$A29,Данные!$B$2:$B$649,2019)</f>
        <v>1215</v>
      </c>
      <c r="H29" s="6">
        <f t="shared" si="2"/>
        <v>-1095</v>
      </c>
      <c r="I29" s="5">
        <f t="shared" si="3"/>
        <v>-0.47402597402597402</v>
      </c>
      <c r="J29" s="3">
        <f t="shared" si="4"/>
        <v>1095.9242424242425</v>
      </c>
      <c r="K29" s="3">
        <f t="shared" si="5"/>
        <v>1125.8205761316872</v>
      </c>
      <c r="L29" s="5">
        <f t="shared" si="6"/>
        <v>2.7279562354887155E-2</v>
      </c>
      <c r="M29" s="3">
        <f t="shared" si="7"/>
        <v>-1216405.2881593716</v>
      </c>
      <c r="N29" s="3">
        <f t="shared" si="8"/>
        <v>52692.288159371252</v>
      </c>
      <c r="O29" s="3">
        <f t="shared" si="9"/>
        <v>0</v>
      </c>
      <c r="P29" s="3">
        <f t="shared" si="10"/>
        <v>-1.5750312224762579</v>
      </c>
    </row>
    <row r="30" spans="1:16" ht="23.1" customHeight="1">
      <c r="A30" s="1" t="s">
        <v>57</v>
      </c>
      <c r="B30" s="3">
        <f>SUMIFS(Данные!$D$2:$D$649,Данные!$A$2:$A$649,$A30,Данные!$B$2:$B$649,2018)</f>
        <v>2678910</v>
      </c>
      <c r="C30" s="3">
        <f>SUMIFS(Данные!$D$2:$D$649,Данные!$A$2:$A$649,$A30,Данные!$B$2:$B$649,2019)</f>
        <v>1511499</v>
      </c>
      <c r="D30" s="3">
        <f t="shared" si="0"/>
        <v>-1167411</v>
      </c>
      <c r="E30" s="5">
        <f t="shared" si="1"/>
        <v>-0.43577835761559741</v>
      </c>
      <c r="F30" s="6">
        <f>SUMIFS(Данные!$E$2:$E$649,Данные!$A$2:$A$649,$A30,Данные!$B$2:$B$649,2018)</f>
        <v>2351</v>
      </c>
      <c r="G30" s="6">
        <f>SUMIFS(Данные!$E$2:$E$649,Данные!$A$2:$A$649,$A30,Данные!$B$2:$B$649,2019)</f>
        <v>1273</v>
      </c>
      <c r="H30" s="6">
        <f t="shared" si="2"/>
        <v>-1078</v>
      </c>
      <c r="I30" s="5">
        <f t="shared" si="3"/>
        <v>-0.45852828583581456</v>
      </c>
      <c r="J30" s="3">
        <f t="shared" si="4"/>
        <v>1139.4768183751596</v>
      </c>
      <c r="K30" s="3">
        <f t="shared" si="5"/>
        <v>1187.3519245875884</v>
      </c>
      <c r="L30" s="5">
        <f t="shared" si="6"/>
        <v>4.2014989195389152E-2</v>
      </c>
      <c r="M30" s="3">
        <f t="shared" si="7"/>
        <v>-1254160.6924569211</v>
      </c>
      <c r="N30" s="3">
        <f t="shared" si="8"/>
        <v>86749.692456921024</v>
      </c>
      <c r="O30" s="3">
        <f t="shared" si="9"/>
        <v>0</v>
      </c>
      <c r="P30" s="3">
        <f t="shared" si="10"/>
        <v>-1.580036292850755</v>
      </c>
    </row>
    <row r="31" spans="1:16" ht="23.1" customHeight="1">
      <c r="A31" s="1" t="s">
        <v>58</v>
      </c>
      <c r="B31" s="3">
        <f>SUMIFS(Данные!$D$2:$D$649,Данные!$A$2:$A$649,$A31,Данные!$B$2:$B$649,2018)</f>
        <v>2860997</v>
      </c>
      <c r="C31" s="3">
        <f>SUMIFS(Данные!$D$2:$D$649,Данные!$A$2:$A$649,$A31,Данные!$B$2:$B$649,2019)</f>
        <v>1577697</v>
      </c>
      <c r="D31" s="3">
        <f t="shared" si="0"/>
        <v>-1283300</v>
      </c>
      <c r="E31" s="5">
        <f t="shared" si="1"/>
        <v>-0.44854992857385029</v>
      </c>
      <c r="F31" s="6">
        <f>SUMIFS(Данные!$E$2:$E$649,Данные!$A$2:$A$649,$A31,Данные!$B$2:$B$649,2018)</f>
        <v>2594</v>
      </c>
      <c r="G31" s="6">
        <f>SUMIFS(Данные!$E$2:$E$649,Данные!$A$2:$A$649,$A31,Данные!$B$2:$B$649,2019)</f>
        <v>1403</v>
      </c>
      <c r="H31" s="6">
        <f t="shared" si="2"/>
        <v>-1191</v>
      </c>
      <c r="I31" s="5">
        <f t="shared" si="3"/>
        <v>-0.45913646877409409</v>
      </c>
      <c r="J31" s="3">
        <f t="shared" si="4"/>
        <v>1102.9286815728603</v>
      </c>
      <c r="K31" s="3">
        <f t="shared" si="5"/>
        <v>1124.5167498218104</v>
      </c>
      <c r="L31" s="5">
        <f t="shared" si="6"/>
        <v>1.9573403620408047E-2</v>
      </c>
      <c r="M31" s="3">
        <f t="shared" si="7"/>
        <v>-1326443.7543955264</v>
      </c>
      <c r="N31" s="3">
        <f t="shared" si="8"/>
        <v>43143.754395526761</v>
      </c>
      <c r="O31" s="3">
        <f t="shared" si="9"/>
        <v>0</v>
      </c>
      <c r="P31" s="3">
        <f t="shared" si="10"/>
        <v>-1.7368866445625182</v>
      </c>
    </row>
    <row r="32" spans="1:16" ht="23.1" customHeight="1">
      <c r="A32" s="7" t="s">
        <v>59</v>
      </c>
      <c r="B32" s="8">
        <f>SUM(B5:B31)</f>
        <v>73885075</v>
      </c>
      <c r="C32" s="8">
        <f>SUM(C5:C31)</f>
        <v>74477846.5</v>
      </c>
      <c r="D32" s="8">
        <f>SUM(D5:D31)</f>
        <v>592771.5</v>
      </c>
      <c r="E32" s="9">
        <f t="shared" si="1"/>
        <v>8.0228855421747899E-3</v>
      </c>
      <c r="F32" s="10">
        <f>SUM(F5:F31)</f>
        <v>66063</v>
      </c>
      <c r="G32" s="10">
        <f>SUM(G5:G31)</f>
        <v>60859</v>
      </c>
      <c r="H32" s="10">
        <f>SUM(H5:H31)</f>
        <v>-5204</v>
      </c>
      <c r="I32" s="9">
        <f t="shared" si="3"/>
        <v>-7.8773292160513445E-2</v>
      </c>
      <c r="J32" s="8">
        <f t="shared" si="4"/>
        <v>1118.4032665788716</v>
      </c>
      <c r="K32" s="8">
        <f t="shared" si="5"/>
        <v>1223.777033799438</v>
      </c>
      <c r="L32" s="9">
        <f t="shared" si="6"/>
        <v>9.4218043141896857E-2</v>
      </c>
      <c r="M32" s="8">
        <f>SUM(M5:M31)</f>
        <v>-5362668.256156547</v>
      </c>
      <c r="N32" s="8">
        <f>SUM(N5:N31)</f>
        <v>5955439.7561565498</v>
      </c>
      <c r="O32" s="8">
        <f>SUM(O5:O31)</f>
        <v>0</v>
      </c>
      <c r="P32" s="8">
        <f>SUM(P5:P31)</f>
        <v>0.80228855421747802</v>
      </c>
    </row>
    <row r="33" spans="1:16" ht="23.1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23.1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</sheetData>
  <conditionalFormatting sqref="D5:D31">
    <cfRule type="dataBar" priority="1">
      <dataBar>
        <cfvo type="min"/>
        <cfvo type="max"/>
        <color rgb="FFB47C55"/>
      </dataBar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showGridLines="0" workbookViewId="0"/>
  </sheetViews>
  <sheetFormatPr defaultRowHeight="14.25"/>
  <cols>
    <col min="1" max="7" width="23" customWidth="1"/>
  </cols>
  <sheetData>
    <row r="1" spans="1:7" ht="23.1" customHeight="1">
      <c r="A1" s="1"/>
      <c r="B1" s="1"/>
      <c r="C1" s="1"/>
      <c r="D1" s="1"/>
      <c r="E1" s="1"/>
      <c r="F1" s="1"/>
      <c r="G1" s="1"/>
    </row>
    <row r="2" spans="1:7" ht="32.1" customHeight="1">
      <c r="A2" s="4" t="s">
        <v>60</v>
      </c>
      <c r="B2" s="1"/>
      <c r="C2" s="1"/>
      <c r="D2" s="1"/>
      <c r="E2" s="1"/>
      <c r="F2" s="1"/>
      <c r="G2" s="1"/>
    </row>
    <row r="3" spans="1:7" ht="23.1" customHeight="1">
      <c r="A3" s="1"/>
      <c r="B3" s="1"/>
      <c r="C3" s="1"/>
      <c r="D3" s="1"/>
      <c r="E3" s="1"/>
      <c r="F3" s="1"/>
      <c r="G3" s="1"/>
    </row>
    <row r="4" spans="1:7" ht="48" customHeight="1">
      <c r="A4" s="2" t="s">
        <v>61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</row>
    <row r="5" spans="1:7" ht="23.1" customHeight="1">
      <c r="A5" s="1">
        <v>1</v>
      </c>
      <c r="B5" s="3">
        <f>SUMIFS(Данные!$D$2:$D$649,Данные!$B$2:$B$649,2018,Данные!$C$2:$C$649,$A5)</f>
        <v>5663634</v>
      </c>
      <c r="C5" s="3">
        <f>SUMIFS(Данные!$D$2:$D$649,Данные!$B$2:$B$649,2019,Данные!$C$2:$C$649,$A5)</f>
        <v>5936162</v>
      </c>
      <c r="D5" s="3">
        <f t="shared" ref="D5:D16" si="0">C5-B5</f>
        <v>272528</v>
      </c>
      <c r="E5" s="5">
        <f t="shared" ref="E5:E17" si="1">D5/B5</f>
        <v>4.8118928588958963E-2</v>
      </c>
      <c r="F5" s="6">
        <f>SUMIFS(Данные!$E$2:$E$649,Данные!$B$2:$B$649,2018,Данные!$C$2:$C$649,$A5)</f>
        <v>4974</v>
      </c>
      <c r="G5" s="6">
        <f>SUMIFS(Данные!$E$2:$E$649,Данные!$B$2:$B$649,2019,Данные!$C$2:$C$649,$A5)</f>
        <v>5098</v>
      </c>
    </row>
    <row r="6" spans="1:7" ht="23.1" customHeight="1">
      <c r="A6" s="1">
        <v>2</v>
      </c>
      <c r="B6" s="3">
        <f>SUMIFS(Данные!$D$2:$D$649,Данные!$B$2:$B$649,2018,Данные!$C$2:$C$649,$A6)</f>
        <v>5771042</v>
      </c>
      <c r="C6" s="3">
        <f>SUMIFS(Данные!$D$2:$D$649,Данные!$B$2:$B$649,2019,Данные!$C$2:$C$649,$A6)</f>
        <v>5477191</v>
      </c>
      <c r="D6" s="3">
        <f t="shared" si="0"/>
        <v>-293851</v>
      </c>
      <c r="E6" s="5">
        <f t="shared" si="1"/>
        <v>-5.0918187738020274E-2</v>
      </c>
      <c r="F6" s="6">
        <f>SUMIFS(Данные!$E$2:$E$649,Данные!$B$2:$B$649,2018,Данные!$C$2:$C$649,$A6)</f>
        <v>5198</v>
      </c>
      <c r="G6" s="6">
        <f>SUMIFS(Данные!$E$2:$E$649,Данные!$B$2:$B$649,2019,Данные!$C$2:$C$649,$A6)</f>
        <v>4777</v>
      </c>
    </row>
    <row r="7" spans="1:7" ht="23.1" customHeight="1">
      <c r="A7" s="1">
        <v>3</v>
      </c>
      <c r="B7" s="3">
        <f>SUMIFS(Данные!$D$2:$D$649,Данные!$B$2:$B$649,2018,Данные!$C$2:$C$649,$A7)</f>
        <v>5423401</v>
      </c>
      <c r="C7" s="3">
        <f>SUMIFS(Данные!$D$2:$D$649,Данные!$B$2:$B$649,2019,Данные!$C$2:$C$649,$A7)</f>
        <v>5131741</v>
      </c>
      <c r="D7" s="3">
        <f t="shared" si="0"/>
        <v>-291660</v>
      </c>
      <c r="E7" s="5">
        <f t="shared" si="1"/>
        <v>-5.377806287973174E-2</v>
      </c>
      <c r="F7" s="6">
        <f>SUMIFS(Данные!$E$2:$E$649,Данные!$B$2:$B$649,2018,Данные!$C$2:$C$649,$A7)</f>
        <v>5213</v>
      </c>
      <c r="G7" s="6">
        <f>SUMIFS(Данные!$E$2:$E$649,Данные!$B$2:$B$649,2019,Данные!$C$2:$C$649,$A7)</f>
        <v>4745</v>
      </c>
    </row>
    <row r="8" spans="1:7" ht="23.1" customHeight="1">
      <c r="A8" s="1">
        <v>4</v>
      </c>
      <c r="B8" s="3">
        <f>SUMIFS(Данные!$D$2:$D$649,Данные!$B$2:$B$649,2018,Данные!$C$2:$C$649,$A8)</f>
        <v>6140414</v>
      </c>
      <c r="C8" s="3">
        <f>SUMIFS(Данные!$D$2:$D$649,Данные!$B$2:$B$649,2019,Данные!$C$2:$C$649,$A8)</f>
        <v>6106003</v>
      </c>
      <c r="D8" s="3">
        <f t="shared" si="0"/>
        <v>-34411</v>
      </c>
      <c r="E8" s="5">
        <f t="shared" si="1"/>
        <v>-5.6040195335363384E-3</v>
      </c>
      <c r="F8" s="6">
        <f>SUMIFS(Данные!$E$2:$E$649,Данные!$B$2:$B$649,2018,Данные!$C$2:$C$649,$A8)</f>
        <v>5788</v>
      </c>
      <c r="G8" s="6">
        <f>SUMIFS(Данные!$E$2:$E$649,Данные!$B$2:$B$649,2019,Данные!$C$2:$C$649,$A8)</f>
        <v>5262</v>
      </c>
    </row>
    <row r="9" spans="1:7" ht="23.1" customHeight="1">
      <c r="A9" s="1">
        <v>5</v>
      </c>
      <c r="B9" s="3">
        <f>SUMIFS(Данные!$D$2:$D$649,Данные!$B$2:$B$649,2018,Данные!$C$2:$C$649,$A9)</f>
        <v>6679628</v>
      </c>
      <c r="C9" s="3">
        <f>SUMIFS(Данные!$D$2:$D$649,Данные!$B$2:$B$649,2019,Данные!$C$2:$C$649,$A9)</f>
        <v>6883227</v>
      </c>
      <c r="D9" s="3">
        <f t="shared" si="0"/>
        <v>203599</v>
      </c>
      <c r="E9" s="5">
        <f t="shared" si="1"/>
        <v>3.0480589637626527E-2</v>
      </c>
      <c r="F9" s="6">
        <f>SUMIFS(Данные!$E$2:$E$649,Данные!$B$2:$B$649,2018,Данные!$C$2:$C$649,$A9)</f>
        <v>5590</v>
      </c>
      <c r="G9" s="6">
        <f>SUMIFS(Данные!$E$2:$E$649,Данные!$B$2:$B$649,2019,Данные!$C$2:$C$649,$A9)</f>
        <v>5207</v>
      </c>
    </row>
    <row r="10" spans="1:7" ht="23.1" customHeight="1">
      <c r="A10" s="1">
        <v>6</v>
      </c>
      <c r="B10" s="3">
        <f>SUMIFS(Данные!$D$2:$D$649,Данные!$B$2:$B$649,2018,Данные!$C$2:$C$649,$A10)</f>
        <v>6351750</v>
      </c>
      <c r="C10" s="3">
        <f>SUMIFS(Данные!$D$2:$D$649,Данные!$B$2:$B$649,2019,Данные!$C$2:$C$649,$A10)</f>
        <v>6440722</v>
      </c>
      <c r="D10" s="3">
        <f t="shared" si="0"/>
        <v>88972</v>
      </c>
      <c r="E10" s="5">
        <f t="shared" si="1"/>
        <v>1.4007478254024482E-2</v>
      </c>
      <c r="F10" s="6">
        <f>SUMIFS(Данные!$E$2:$E$649,Данные!$B$2:$B$649,2018,Данные!$C$2:$C$649,$A10)</f>
        <v>5465</v>
      </c>
      <c r="G10" s="6">
        <f>SUMIFS(Данные!$E$2:$E$649,Данные!$B$2:$B$649,2019,Данные!$C$2:$C$649,$A10)</f>
        <v>4869</v>
      </c>
    </row>
    <row r="11" spans="1:7" ht="23.1" customHeight="1">
      <c r="A11" s="1">
        <v>7</v>
      </c>
      <c r="B11" s="3">
        <f>SUMIFS(Данные!$D$2:$D$649,Данные!$B$2:$B$649,2018,Данные!$C$2:$C$649,$A11)</f>
        <v>6401324</v>
      </c>
      <c r="C11" s="3">
        <f>SUMIFS(Данные!$D$2:$D$649,Данные!$B$2:$B$649,2019,Данные!$C$2:$C$649,$A11)</f>
        <v>6594020</v>
      </c>
      <c r="D11" s="3">
        <f t="shared" si="0"/>
        <v>192696</v>
      </c>
      <c r="E11" s="5">
        <f t="shared" si="1"/>
        <v>3.0102522540649403E-2</v>
      </c>
      <c r="F11" s="6">
        <f>SUMIFS(Данные!$E$2:$E$649,Данные!$B$2:$B$649,2018,Данные!$C$2:$C$649,$A11)</f>
        <v>5522</v>
      </c>
      <c r="G11" s="6">
        <f>SUMIFS(Данные!$E$2:$E$649,Данные!$B$2:$B$649,2019,Данные!$C$2:$C$649,$A11)</f>
        <v>5191</v>
      </c>
    </row>
    <row r="12" spans="1:7" ht="23.1" customHeight="1">
      <c r="A12" s="1">
        <v>8</v>
      </c>
      <c r="B12" s="3">
        <f>SUMIFS(Данные!$D$2:$D$649,Данные!$B$2:$B$649,2018,Данные!$C$2:$C$649,$A12)</f>
        <v>6428169</v>
      </c>
      <c r="C12" s="3">
        <f>SUMIFS(Данные!$D$2:$D$649,Данные!$B$2:$B$649,2019,Данные!$C$2:$C$649,$A12)</f>
        <v>6422004</v>
      </c>
      <c r="D12" s="3">
        <f t="shared" si="0"/>
        <v>-6165</v>
      </c>
      <c r="E12" s="5">
        <f t="shared" si="1"/>
        <v>-9.5906003715832608E-4</v>
      </c>
      <c r="F12" s="6">
        <f>SUMIFS(Данные!$E$2:$E$649,Данные!$B$2:$B$649,2018,Данные!$C$2:$C$649,$A12)</f>
        <v>5591</v>
      </c>
      <c r="G12" s="6">
        <f>SUMIFS(Данные!$E$2:$E$649,Данные!$B$2:$B$649,2019,Данные!$C$2:$C$649,$A12)</f>
        <v>5073</v>
      </c>
    </row>
    <row r="13" spans="1:7" ht="23.1" customHeight="1">
      <c r="A13" s="1">
        <v>9</v>
      </c>
      <c r="B13" s="3">
        <f>SUMIFS(Данные!$D$2:$D$649,Данные!$B$2:$B$649,2018,Данные!$C$2:$C$649,$A13)</f>
        <v>5999622</v>
      </c>
      <c r="C13" s="3">
        <f>SUMIFS(Данные!$D$2:$D$649,Данные!$B$2:$B$649,2019,Данные!$C$2:$C$649,$A13)</f>
        <v>6046611</v>
      </c>
      <c r="D13" s="3">
        <f t="shared" si="0"/>
        <v>46989</v>
      </c>
      <c r="E13" s="5">
        <f t="shared" si="1"/>
        <v>7.8319934155851815E-3</v>
      </c>
      <c r="F13" s="6">
        <f>SUMIFS(Данные!$E$2:$E$649,Данные!$B$2:$B$649,2018,Данные!$C$2:$C$649,$A13)</f>
        <v>5661</v>
      </c>
      <c r="G13" s="6">
        <f>SUMIFS(Данные!$E$2:$E$649,Данные!$B$2:$B$649,2019,Данные!$C$2:$C$649,$A13)</f>
        <v>5160</v>
      </c>
    </row>
    <row r="14" spans="1:7" ht="23.1" customHeight="1">
      <c r="A14" s="1">
        <v>10</v>
      </c>
      <c r="B14" s="3">
        <f>SUMIFS(Данные!$D$2:$D$649,Данные!$B$2:$B$649,2018,Данные!$C$2:$C$649,$A14)</f>
        <v>6902381</v>
      </c>
      <c r="C14" s="3">
        <f>SUMIFS(Данные!$D$2:$D$649,Данные!$B$2:$B$649,2019,Данные!$C$2:$C$649,$A14)</f>
        <v>7127734</v>
      </c>
      <c r="D14" s="3">
        <f t="shared" si="0"/>
        <v>225353</v>
      </c>
      <c r="E14" s="5">
        <f t="shared" si="1"/>
        <v>3.26485889434385E-2</v>
      </c>
      <c r="F14" s="6">
        <f>SUMIFS(Данные!$E$2:$E$649,Данные!$B$2:$B$649,2018,Данные!$C$2:$C$649,$A14)</f>
        <v>5916</v>
      </c>
      <c r="G14" s="6">
        <f>SUMIFS(Данные!$E$2:$E$649,Данные!$B$2:$B$649,2019,Данные!$C$2:$C$649,$A14)</f>
        <v>5404</v>
      </c>
    </row>
    <row r="15" spans="1:7" ht="23.1" customHeight="1">
      <c r="A15" s="1">
        <v>11</v>
      </c>
      <c r="B15" s="3">
        <f>SUMIFS(Данные!$D$2:$D$649,Данные!$B$2:$B$649,2018,Данные!$C$2:$C$649,$A15)</f>
        <v>6286122</v>
      </c>
      <c r="C15" s="3">
        <f>SUMIFS(Данные!$D$2:$D$649,Данные!$B$2:$B$649,2019,Данные!$C$2:$C$649,$A15)</f>
        <v>6601156</v>
      </c>
      <c r="D15" s="3">
        <f t="shared" si="0"/>
        <v>315034</v>
      </c>
      <c r="E15" s="5">
        <f t="shared" si="1"/>
        <v>5.011579476185795E-2</v>
      </c>
      <c r="F15" s="6">
        <f>SUMIFS(Данные!$E$2:$E$649,Данные!$B$2:$B$649,2018,Данные!$C$2:$C$649,$A15)</f>
        <v>5579</v>
      </c>
      <c r="G15" s="6">
        <f>SUMIFS(Данные!$E$2:$E$649,Данные!$B$2:$B$649,2019,Данные!$C$2:$C$649,$A15)</f>
        <v>5094</v>
      </c>
    </row>
    <row r="16" spans="1:7" ht="23.1" customHeight="1">
      <c r="A16" s="1">
        <v>12</v>
      </c>
      <c r="B16" s="3">
        <f>SUMIFS(Данные!$D$2:$D$649,Данные!$B$2:$B$649,2018,Данные!$C$2:$C$649,$A16)</f>
        <v>5837588</v>
      </c>
      <c r="C16" s="3">
        <f>SUMIFS(Данные!$D$2:$D$649,Данные!$B$2:$B$649,2019,Данные!$C$2:$C$649,$A16)</f>
        <v>5711275.5</v>
      </c>
      <c r="D16" s="3">
        <f t="shared" si="0"/>
        <v>-126312.5</v>
      </c>
      <c r="E16" s="5">
        <f t="shared" si="1"/>
        <v>-2.1637789443174134E-2</v>
      </c>
      <c r="F16" s="6">
        <f>SUMIFS(Данные!$E$2:$E$649,Данные!$B$2:$B$649,2018,Данные!$C$2:$C$649,$A16)</f>
        <v>5566</v>
      </c>
      <c r="G16" s="6">
        <f>SUMIFS(Данные!$E$2:$E$649,Данные!$B$2:$B$649,2019,Данные!$C$2:$C$649,$A16)</f>
        <v>4979</v>
      </c>
    </row>
    <row r="17" spans="1:7" ht="23.1" customHeight="1">
      <c r="A17" s="7" t="s">
        <v>59</v>
      </c>
      <c r="B17" s="8">
        <f>SUM(B5:B16)</f>
        <v>73885075</v>
      </c>
      <c r="C17" s="8">
        <f>SUM(C5:C16)</f>
        <v>74477846.5</v>
      </c>
      <c r="D17" s="8">
        <f>SUM(D5:D16)</f>
        <v>592771.5</v>
      </c>
      <c r="E17" s="9">
        <f t="shared" si="1"/>
        <v>8.0228855421747899E-3</v>
      </c>
      <c r="F17" s="10">
        <f>SUM(F5:F16)</f>
        <v>66063</v>
      </c>
      <c r="G17" s="10">
        <f>SUM(G5:G16)</f>
        <v>60859</v>
      </c>
    </row>
    <row r="18" spans="1:7" ht="23.1" customHeight="1">
      <c r="A18" s="1"/>
      <c r="B18" s="1"/>
      <c r="C18" s="1"/>
      <c r="D18" s="1"/>
      <c r="E18" s="1"/>
      <c r="F18" s="1"/>
      <c r="G18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49"/>
  <sheetViews>
    <sheetView showGridLines="0" workbookViewId="0">
      <pane ySplit="1" topLeftCell="A2" activePane="bottomLeft" state="frozen"/>
      <selection pane="bottomLeft"/>
    </sheetView>
  </sheetViews>
  <sheetFormatPr defaultRowHeight="14.25"/>
  <cols>
    <col min="1" max="5" width="21" customWidth="1"/>
  </cols>
  <sheetData>
    <row r="1" spans="1:5" ht="48" customHeight="1">
      <c r="A1" s="2" t="s">
        <v>62</v>
      </c>
      <c r="B1" s="2" t="s">
        <v>63</v>
      </c>
      <c r="C1" s="2" t="s">
        <v>61</v>
      </c>
      <c r="D1" s="2" t="s">
        <v>5</v>
      </c>
      <c r="E1" s="2" t="s">
        <v>6</v>
      </c>
    </row>
    <row r="2" spans="1:5" ht="23.1" customHeight="1">
      <c r="A2" s="1" t="s">
        <v>41</v>
      </c>
      <c r="B2" s="1">
        <v>2018</v>
      </c>
      <c r="C2" s="1">
        <v>1</v>
      </c>
      <c r="D2" s="3">
        <v>144557</v>
      </c>
      <c r="E2" s="1">
        <v>193</v>
      </c>
    </row>
    <row r="3" spans="1:5" ht="23.1" customHeight="1">
      <c r="A3" s="1" t="s">
        <v>41</v>
      </c>
      <c r="B3" s="1">
        <v>2018</v>
      </c>
      <c r="C3" s="1">
        <v>2</v>
      </c>
      <c r="D3" s="3">
        <v>147932</v>
      </c>
      <c r="E3" s="1">
        <v>124</v>
      </c>
    </row>
    <row r="4" spans="1:5" ht="23.1" customHeight="1">
      <c r="A4" s="1" t="s">
        <v>41</v>
      </c>
      <c r="B4" s="1">
        <v>2018</v>
      </c>
      <c r="C4" s="1">
        <v>3</v>
      </c>
      <c r="D4" s="3">
        <v>189174</v>
      </c>
      <c r="E4" s="1">
        <v>246</v>
      </c>
    </row>
    <row r="5" spans="1:5" ht="23.1" customHeight="1">
      <c r="A5" s="1" t="s">
        <v>41</v>
      </c>
      <c r="B5" s="1">
        <v>2018</v>
      </c>
      <c r="C5" s="1">
        <v>4</v>
      </c>
      <c r="D5" s="3">
        <v>163876</v>
      </c>
      <c r="E5" s="1">
        <v>212</v>
      </c>
    </row>
    <row r="6" spans="1:5" ht="23.1" customHeight="1">
      <c r="A6" s="1" t="s">
        <v>41</v>
      </c>
      <c r="B6" s="1">
        <v>2018</v>
      </c>
      <c r="C6" s="1">
        <v>5</v>
      </c>
      <c r="D6" s="3">
        <v>310964</v>
      </c>
      <c r="E6" s="1">
        <v>269</v>
      </c>
    </row>
    <row r="7" spans="1:5" ht="23.1" customHeight="1">
      <c r="A7" s="1" t="s">
        <v>41</v>
      </c>
      <c r="B7" s="1">
        <v>2018</v>
      </c>
      <c r="C7" s="1">
        <v>6</v>
      </c>
      <c r="D7" s="3">
        <v>180348</v>
      </c>
      <c r="E7" s="1">
        <v>226</v>
      </c>
    </row>
    <row r="8" spans="1:5" ht="23.1" customHeight="1">
      <c r="A8" s="1" t="s">
        <v>41</v>
      </c>
      <c r="B8" s="1">
        <v>2018</v>
      </c>
      <c r="C8" s="1">
        <v>7</v>
      </c>
      <c r="D8" s="3">
        <v>221238</v>
      </c>
      <c r="E8" s="1">
        <v>241</v>
      </c>
    </row>
    <row r="9" spans="1:5" ht="23.1" customHeight="1">
      <c r="A9" s="1" t="s">
        <v>41</v>
      </c>
      <c r="B9" s="1">
        <v>2018</v>
      </c>
      <c r="C9" s="1">
        <v>8</v>
      </c>
      <c r="D9" s="3">
        <v>444314</v>
      </c>
      <c r="E9" s="1">
        <v>299</v>
      </c>
    </row>
    <row r="10" spans="1:5" ht="23.1" customHeight="1">
      <c r="A10" s="1" t="s">
        <v>41</v>
      </c>
      <c r="B10" s="1">
        <v>2018</v>
      </c>
      <c r="C10" s="1">
        <v>9</v>
      </c>
      <c r="D10" s="3">
        <v>239064</v>
      </c>
      <c r="E10" s="1">
        <v>168</v>
      </c>
    </row>
    <row r="11" spans="1:5" ht="23.1" customHeight="1">
      <c r="A11" s="1" t="s">
        <v>41</v>
      </c>
      <c r="B11" s="1">
        <v>2018</v>
      </c>
      <c r="C11" s="1">
        <v>10</v>
      </c>
      <c r="D11" s="3">
        <v>238875</v>
      </c>
      <c r="E11" s="1">
        <v>195</v>
      </c>
    </row>
    <row r="12" spans="1:5" ht="23.1" customHeight="1">
      <c r="A12" s="1" t="s">
        <v>41</v>
      </c>
      <c r="B12" s="1">
        <v>2018</v>
      </c>
      <c r="C12" s="1">
        <v>11</v>
      </c>
      <c r="D12" s="3">
        <v>210684</v>
      </c>
      <c r="E12" s="1">
        <v>181</v>
      </c>
    </row>
    <row r="13" spans="1:5" ht="23.1" customHeight="1">
      <c r="A13" s="1" t="s">
        <v>41</v>
      </c>
      <c r="B13" s="1">
        <v>2018</v>
      </c>
      <c r="C13" s="1">
        <v>12</v>
      </c>
      <c r="D13" s="3">
        <v>395928</v>
      </c>
      <c r="E13" s="1">
        <v>282</v>
      </c>
    </row>
    <row r="14" spans="1:5" ht="23.1" customHeight="1">
      <c r="A14" s="1" t="s">
        <v>41</v>
      </c>
      <c r="B14" s="1">
        <v>2019</v>
      </c>
      <c r="C14" s="1">
        <v>1</v>
      </c>
      <c r="D14" s="3">
        <v>151125</v>
      </c>
      <c r="E14" s="1">
        <v>195</v>
      </c>
    </row>
    <row r="15" spans="1:5" ht="23.1" customHeight="1">
      <c r="A15" s="1" t="s">
        <v>41</v>
      </c>
      <c r="B15" s="1">
        <v>2019</v>
      </c>
      <c r="C15" s="1">
        <v>2</v>
      </c>
      <c r="D15" s="3">
        <v>154496</v>
      </c>
      <c r="E15" s="1">
        <v>128</v>
      </c>
    </row>
    <row r="16" spans="1:5" ht="23.1" customHeight="1">
      <c r="A16" s="1" t="s">
        <v>41</v>
      </c>
      <c r="B16" s="1">
        <v>2019</v>
      </c>
      <c r="C16" s="1">
        <v>3</v>
      </c>
      <c r="D16" s="3">
        <v>204078</v>
      </c>
      <c r="E16" s="1">
        <v>258</v>
      </c>
    </row>
    <row r="17" spans="1:5" ht="23.1" customHeight="1">
      <c r="A17" s="1" t="s">
        <v>41</v>
      </c>
      <c r="B17" s="1">
        <v>2019</v>
      </c>
      <c r="C17" s="1">
        <v>4</v>
      </c>
      <c r="D17" s="3">
        <v>179010</v>
      </c>
      <c r="E17" s="1">
        <v>221</v>
      </c>
    </row>
    <row r="18" spans="1:5" ht="23.1" customHeight="1">
      <c r="A18" s="1" t="s">
        <v>41</v>
      </c>
      <c r="B18" s="1">
        <v>2019</v>
      </c>
      <c r="C18" s="1">
        <v>5</v>
      </c>
      <c r="D18" s="3">
        <v>317018</v>
      </c>
      <c r="E18" s="1">
        <v>274</v>
      </c>
    </row>
    <row r="19" spans="1:5" ht="23.1" customHeight="1">
      <c r="A19" s="1" t="s">
        <v>41</v>
      </c>
      <c r="B19" s="1">
        <v>2019</v>
      </c>
      <c r="C19" s="1">
        <v>6</v>
      </c>
      <c r="D19" s="3">
        <v>193390</v>
      </c>
      <c r="E19" s="1">
        <v>233</v>
      </c>
    </row>
    <row r="20" spans="1:5" ht="23.1" customHeight="1">
      <c r="A20" s="1" t="s">
        <v>41</v>
      </c>
      <c r="B20" s="1">
        <v>2019</v>
      </c>
      <c r="C20" s="1">
        <v>7</v>
      </c>
      <c r="D20" s="3">
        <v>224910</v>
      </c>
      <c r="E20" s="1">
        <v>245</v>
      </c>
    </row>
    <row r="21" spans="1:5" ht="23.1" customHeight="1">
      <c r="A21" s="1" t="s">
        <v>41</v>
      </c>
      <c r="B21" s="1">
        <v>2019</v>
      </c>
      <c r="C21" s="1">
        <v>8</v>
      </c>
      <c r="D21" s="3">
        <v>467754</v>
      </c>
      <c r="E21" s="1">
        <v>301</v>
      </c>
    </row>
    <row r="22" spans="1:5" ht="23.1" customHeight="1">
      <c r="A22" s="1" t="s">
        <v>41</v>
      </c>
      <c r="B22" s="1">
        <v>2019</v>
      </c>
      <c r="C22" s="1">
        <v>9</v>
      </c>
      <c r="D22" s="3">
        <v>251680</v>
      </c>
      <c r="E22" s="1">
        <v>176</v>
      </c>
    </row>
    <row r="23" spans="1:5" ht="23.1" customHeight="1">
      <c r="A23" s="1" t="s">
        <v>41</v>
      </c>
      <c r="B23" s="1">
        <v>2019</v>
      </c>
      <c r="C23" s="1">
        <v>10</v>
      </c>
      <c r="D23" s="3">
        <v>254200</v>
      </c>
      <c r="E23" s="1">
        <v>205</v>
      </c>
    </row>
    <row r="24" spans="1:5" ht="23.1" customHeight="1">
      <c r="A24" s="1" t="s">
        <v>41</v>
      </c>
      <c r="B24" s="1">
        <v>2019</v>
      </c>
      <c r="C24" s="1">
        <v>11</v>
      </c>
      <c r="D24" s="3">
        <v>217190</v>
      </c>
      <c r="E24" s="1">
        <v>185</v>
      </c>
    </row>
    <row r="25" spans="1:5" ht="23.1" customHeight="1">
      <c r="A25" s="1" t="s">
        <v>41</v>
      </c>
      <c r="B25" s="1">
        <v>2019</v>
      </c>
      <c r="C25" s="1">
        <v>12</v>
      </c>
      <c r="D25" s="3">
        <v>425944</v>
      </c>
      <c r="E25" s="1">
        <v>296</v>
      </c>
    </row>
    <row r="26" spans="1:5" ht="23.1" customHeight="1">
      <c r="A26" s="1" t="s">
        <v>32</v>
      </c>
      <c r="B26" s="1">
        <v>2018</v>
      </c>
      <c r="C26" s="1">
        <v>1</v>
      </c>
      <c r="D26" s="3">
        <v>101400</v>
      </c>
      <c r="E26" s="1">
        <v>130</v>
      </c>
    </row>
    <row r="27" spans="1:5" ht="23.1" customHeight="1">
      <c r="A27" s="1" t="s">
        <v>32</v>
      </c>
      <c r="B27" s="1">
        <v>2018</v>
      </c>
      <c r="C27" s="1">
        <v>2</v>
      </c>
      <c r="D27" s="3">
        <v>182476</v>
      </c>
      <c r="E27" s="1">
        <v>133</v>
      </c>
    </row>
    <row r="28" spans="1:5" ht="23.1" customHeight="1">
      <c r="A28" s="1" t="s">
        <v>32</v>
      </c>
      <c r="B28" s="1">
        <v>2018</v>
      </c>
      <c r="C28" s="1">
        <v>3</v>
      </c>
      <c r="D28" s="3">
        <v>294520</v>
      </c>
      <c r="E28" s="1">
        <v>199</v>
      </c>
    </row>
    <row r="29" spans="1:5" ht="23.1" customHeight="1">
      <c r="A29" s="1" t="s">
        <v>32</v>
      </c>
      <c r="B29" s="1">
        <v>2018</v>
      </c>
      <c r="C29" s="1">
        <v>4</v>
      </c>
      <c r="D29" s="3">
        <v>231075</v>
      </c>
      <c r="E29" s="1">
        <v>225</v>
      </c>
    </row>
    <row r="30" spans="1:5" ht="23.1" customHeight="1">
      <c r="A30" s="1" t="s">
        <v>32</v>
      </c>
      <c r="B30" s="1">
        <v>2018</v>
      </c>
      <c r="C30" s="1">
        <v>5</v>
      </c>
      <c r="D30" s="3">
        <v>378400</v>
      </c>
      <c r="E30" s="1">
        <v>275</v>
      </c>
    </row>
    <row r="31" spans="1:5" ht="23.1" customHeight="1">
      <c r="A31" s="1" t="s">
        <v>32</v>
      </c>
      <c r="B31" s="1">
        <v>2018</v>
      </c>
      <c r="C31" s="1">
        <v>6</v>
      </c>
      <c r="D31" s="3">
        <v>347853</v>
      </c>
      <c r="E31" s="1">
        <v>249</v>
      </c>
    </row>
    <row r="32" spans="1:5" ht="23.1" customHeight="1">
      <c r="A32" s="1" t="s">
        <v>32</v>
      </c>
      <c r="B32" s="1">
        <v>2018</v>
      </c>
      <c r="C32" s="1">
        <v>7</v>
      </c>
      <c r="D32" s="3">
        <v>209405</v>
      </c>
      <c r="E32" s="1">
        <v>193</v>
      </c>
    </row>
    <row r="33" spans="1:5" ht="23.1" customHeight="1">
      <c r="A33" s="1" t="s">
        <v>32</v>
      </c>
      <c r="B33" s="1">
        <v>2018</v>
      </c>
      <c r="C33" s="1">
        <v>8</v>
      </c>
      <c r="D33" s="3">
        <v>133984</v>
      </c>
      <c r="E33" s="1">
        <v>106</v>
      </c>
    </row>
    <row r="34" spans="1:5" ht="23.1" customHeight="1">
      <c r="A34" s="1" t="s">
        <v>32</v>
      </c>
      <c r="B34" s="1">
        <v>2018</v>
      </c>
      <c r="C34" s="1">
        <v>9</v>
      </c>
      <c r="D34" s="3">
        <v>140184</v>
      </c>
      <c r="E34" s="1">
        <v>198</v>
      </c>
    </row>
    <row r="35" spans="1:5" ht="23.1" customHeight="1">
      <c r="A35" s="1" t="s">
        <v>32</v>
      </c>
      <c r="B35" s="1">
        <v>2018</v>
      </c>
      <c r="C35" s="1">
        <v>10</v>
      </c>
      <c r="D35" s="3">
        <v>385056</v>
      </c>
      <c r="E35" s="1">
        <v>288</v>
      </c>
    </row>
    <row r="36" spans="1:5" ht="23.1" customHeight="1">
      <c r="A36" s="1" t="s">
        <v>32</v>
      </c>
      <c r="B36" s="1">
        <v>2018</v>
      </c>
      <c r="C36" s="1">
        <v>11</v>
      </c>
      <c r="D36" s="3">
        <v>348627</v>
      </c>
      <c r="E36" s="1">
        <v>237</v>
      </c>
    </row>
    <row r="37" spans="1:5" ht="23.1" customHeight="1">
      <c r="A37" s="1" t="s">
        <v>32</v>
      </c>
      <c r="B37" s="1">
        <v>2018</v>
      </c>
      <c r="C37" s="1">
        <v>12</v>
      </c>
      <c r="D37" s="3">
        <v>286896</v>
      </c>
      <c r="E37" s="1">
        <v>258</v>
      </c>
    </row>
    <row r="38" spans="1:5" ht="23.1" customHeight="1">
      <c r="A38" s="1" t="s">
        <v>32</v>
      </c>
      <c r="B38" s="1">
        <v>2019</v>
      </c>
      <c r="C38" s="1">
        <v>1</v>
      </c>
      <c r="D38" s="3">
        <v>107440</v>
      </c>
      <c r="E38" s="1">
        <v>136</v>
      </c>
    </row>
    <row r="39" spans="1:5" ht="23.1" customHeight="1">
      <c r="A39" s="1" t="s">
        <v>32</v>
      </c>
      <c r="B39" s="1">
        <v>2019</v>
      </c>
      <c r="C39" s="1">
        <v>2</v>
      </c>
      <c r="D39" s="3">
        <v>192654</v>
      </c>
      <c r="E39" s="1">
        <v>139</v>
      </c>
    </row>
    <row r="40" spans="1:5" ht="23.1" customHeight="1">
      <c r="A40" s="1" t="s">
        <v>32</v>
      </c>
      <c r="B40" s="1">
        <v>2019</v>
      </c>
      <c r="C40" s="1">
        <v>3</v>
      </c>
      <c r="D40" s="3">
        <v>301286</v>
      </c>
      <c r="E40" s="1">
        <v>199</v>
      </c>
    </row>
    <row r="41" spans="1:5" ht="23.1" customHeight="1">
      <c r="A41" s="1" t="s">
        <v>32</v>
      </c>
      <c r="B41" s="1">
        <v>2019</v>
      </c>
      <c r="C41" s="1">
        <v>4</v>
      </c>
      <c r="D41" s="3">
        <v>351234</v>
      </c>
      <c r="E41" s="1">
        <v>228</v>
      </c>
    </row>
    <row r="42" spans="1:5" ht="23.1" customHeight="1">
      <c r="A42" s="1" t="s">
        <v>32</v>
      </c>
      <c r="B42" s="1">
        <v>2019</v>
      </c>
      <c r="C42" s="1">
        <v>5</v>
      </c>
      <c r="D42" s="3">
        <v>579984</v>
      </c>
      <c r="E42" s="1">
        <v>281</v>
      </c>
    </row>
    <row r="43" spans="1:5" ht="23.1" customHeight="1">
      <c r="A43" s="1" t="s">
        <v>32</v>
      </c>
      <c r="B43" s="1">
        <v>2019</v>
      </c>
      <c r="C43" s="1">
        <v>6</v>
      </c>
      <c r="D43" s="3">
        <v>542734</v>
      </c>
      <c r="E43" s="1">
        <v>259</v>
      </c>
    </row>
    <row r="44" spans="1:5" ht="23.1" customHeight="1">
      <c r="A44" s="1" t="s">
        <v>32</v>
      </c>
      <c r="B44" s="1">
        <v>2019</v>
      </c>
      <c r="C44" s="1">
        <v>7</v>
      </c>
      <c r="D44" s="3">
        <v>327127.5</v>
      </c>
      <c r="E44" s="1">
        <v>201</v>
      </c>
    </row>
    <row r="45" spans="1:5" ht="23.1" customHeight="1">
      <c r="A45" s="1" t="s">
        <v>32</v>
      </c>
      <c r="B45" s="1">
        <v>2019</v>
      </c>
      <c r="C45" s="1">
        <v>8</v>
      </c>
      <c r="D45" s="3">
        <v>200976</v>
      </c>
      <c r="E45" s="1">
        <v>106</v>
      </c>
    </row>
    <row r="46" spans="1:5" ht="23.1" customHeight="1">
      <c r="A46" s="1" t="s">
        <v>32</v>
      </c>
      <c r="B46" s="1">
        <v>2019</v>
      </c>
      <c r="C46" s="1">
        <v>9</v>
      </c>
      <c r="D46" s="3">
        <v>220896</v>
      </c>
      <c r="E46" s="1">
        <v>208</v>
      </c>
    </row>
    <row r="47" spans="1:5" ht="23.1" customHeight="1">
      <c r="A47" s="1" t="s">
        <v>32</v>
      </c>
      <c r="B47" s="1">
        <v>2019</v>
      </c>
      <c r="C47" s="1">
        <v>10</v>
      </c>
      <c r="D47" s="3">
        <v>581595</v>
      </c>
      <c r="E47" s="1">
        <v>290</v>
      </c>
    </row>
    <row r="48" spans="1:5" ht="23.1" customHeight="1">
      <c r="A48" s="1" t="s">
        <v>32</v>
      </c>
      <c r="B48" s="1">
        <v>2019</v>
      </c>
      <c r="C48" s="1">
        <v>11</v>
      </c>
      <c r="D48" s="3">
        <v>538386</v>
      </c>
      <c r="E48" s="1">
        <v>244</v>
      </c>
    </row>
    <row r="49" spans="1:5" ht="23.1" customHeight="1">
      <c r="A49" s="1" t="s">
        <v>32</v>
      </c>
      <c r="B49" s="1">
        <v>2019</v>
      </c>
      <c r="C49" s="1">
        <v>12</v>
      </c>
      <c r="D49" s="3">
        <v>435348</v>
      </c>
      <c r="E49" s="1">
        <v>261</v>
      </c>
    </row>
    <row r="50" spans="1:5" ht="23.1" customHeight="1">
      <c r="A50" s="1" t="s">
        <v>46</v>
      </c>
      <c r="B50" s="1">
        <v>2018</v>
      </c>
      <c r="C50" s="1">
        <v>1</v>
      </c>
      <c r="D50" s="3">
        <v>202608</v>
      </c>
      <c r="E50" s="1">
        <v>144</v>
      </c>
    </row>
    <row r="51" spans="1:5" ht="23.1" customHeight="1">
      <c r="A51" s="1" t="s">
        <v>46</v>
      </c>
      <c r="B51" s="1">
        <v>2018</v>
      </c>
      <c r="C51" s="1">
        <v>2</v>
      </c>
      <c r="D51" s="3">
        <v>159516</v>
      </c>
      <c r="E51" s="1">
        <v>108</v>
      </c>
    </row>
    <row r="52" spans="1:5" ht="23.1" customHeight="1">
      <c r="A52" s="1" t="s">
        <v>46</v>
      </c>
      <c r="B52" s="1">
        <v>2018</v>
      </c>
      <c r="C52" s="1">
        <v>3</v>
      </c>
      <c r="D52" s="3">
        <v>128480</v>
      </c>
      <c r="E52" s="1">
        <v>110</v>
      </c>
    </row>
    <row r="53" spans="1:5" ht="23.1" customHeight="1">
      <c r="A53" s="1" t="s">
        <v>46</v>
      </c>
      <c r="B53" s="1">
        <v>2018</v>
      </c>
      <c r="C53" s="1">
        <v>4</v>
      </c>
      <c r="D53" s="3">
        <v>93228</v>
      </c>
      <c r="E53" s="1">
        <v>102</v>
      </c>
    </row>
    <row r="54" spans="1:5" ht="23.1" customHeight="1">
      <c r="A54" s="1" t="s">
        <v>46</v>
      </c>
      <c r="B54" s="1">
        <v>2018</v>
      </c>
      <c r="C54" s="1">
        <v>5</v>
      </c>
      <c r="D54" s="3">
        <v>392445</v>
      </c>
      <c r="E54" s="1">
        <v>285</v>
      </c>
    </row>
    <row r="55" spans="1:5" ht="23.1" customHeight="1">
      <c r="A55" s="1" t="s">
        <v>46</v>
      </c>
      <c r="B55" s="1">
        <v>2018</v>
      </c>
      <c r="C55" s="1">
        <v>6</v>
      </c>
      <c r="D55" s="3">
        <v>163688</v>
      </c>
      <c r="E55" s="1">
        <v>158</v>
      </c>
    </row>
    <row r="56" spans="1:5" ht="23.1" customHeight="1">
      <c r="A56" s="1" t="s">
        <v>46</v>
      </c>
      <c r="B56" s="1">
        <v>2018</v>
      </c>
      <c r="C56" s="1">
        <v>7</v>
      </c>
      <c r="D56" s="3">
        <v>338052</v>
      </c>
      <c r="E56" s="1">
        <v>286</v>
      </c>
    </row>
    <row r="57" spans="1:5" ht="23.1" customHeight="1">
      <c r="A57" s="1" t="s">
        <v>46</v>
      </c>
      <c r="B57" s="1">
        <v>2018</v>
      </c>
      <c r="C57" s="1">
        <v>8</v>
      </c>
      <c r="D57" s="3">
        <v>192372</v>
      </c>
      <c r="E57" s="1">
        <v>204</v>
      </c>
    </row>
    <row r="58" spans="1:5" ht="23.1" customHeight="1">
      <c r="A58" s="1" t="s">
        <v>46</v>
      </c>
      <c r="B58" s="1">
        <v>2018</v>
      </c>
      <c r="C58" s="1">
        <v>9</v>
      </c>
      <c r="D58" s="3">
        <v>260910</v>
      </c>
      <c r="E58" s="1">
        <v>223</v>
      </c>
    </row>
    <row r="59" spans="1:5" ht="23.1" customHeight="1">
      <c r="A59" s="1" t="s">
        <v>46</v>
      </c>
      <c r="B59" s="1">
        <v>2018</v>
      </c>
      <c r="C59" s="1">
        <v>10</v>
      </c>
      <c r="D59" s="3">
        <v>364848</v>
      </c>
      <c r="E59" s="1">
        <v>264</v>
      </c>
    </row>
    <row r="60" spans="1:5" ht="23.1" customHeight="1">
      <c r="A60" s="1" t="s">
        <v>46</v>
      </c>
      <c r="B60" s="1">
        <v>2018</v>
      </c>
      <c r="C60" s="1">
        <v>11</v>
      </c>
      <c r="D60" s="3">
        <v>251778</v>
      </c>
      <c r="E60" s="1">
        <v>174</v>
      </c>
    </row>
    <row r="61" spans="1:5" ht="23.1" customHeight="1">
      <c r="A61" s="1" t="s">
        <v>46</v>
      </c>
      <c r="B61" s="1">
        <v>2018</v>
      </c>
      <c r="C61" s="1">
        <v>12</v>
      </c>
      <c r="D61" s="3">
        <v>112255</v>
      </c>
      <c r="E61" s="1">
        <v>157</v>
      </c>
    </row>
    <row r="62" spans="1:5" ht="23.1" customHeight="1">
      <c r="A62" s="1" t="s">
        <v>46</v>
      </c>
      <c r="B62" s="1">
        <v>2019</v>
      </c>
      <c r="C62" s="1">
        <v>1</v>
      </c>
      <c r="D62" s="3">
        <v>210210</v>
      </c>
      <c r="E62" s="1">
        <v>147</v>
      </c>
    </row>
    <row r="63" spans="1:5" ht="23.1" customHeight="1">
      <c r="A63" s="1" t="s">
        <v>46</v>
      </c>
      <c r="B63" s="1">
        <v>2019</v>
      </c>
      <c r="C63" s="1">
        <v>2</v>
      </c>
      <c r="D63" s="3">
        <v>168224</v>
      </c>
      <c r="E63" s="1">
        <v>112</v>
      </c>
    </row>
    <row r="64" spans="1:5" ht="23.1" customHeight="1">
      <c r="A64" s="1" t="s">
        <v>46</v>
      </c>
      <c r="B64" s="1">
        <v>2019</v>
      </c>
      <c r="C64" s="1">
        <v>3</v>
      </c>
      <c r="D64" s="3">
        <v>140185</v>
      </c>
      <c r="E64" s="1">
        <v>115</v>
      </c>
    </row>
    <row r="65" spans="1:5" ht="23.1" customHeight="1">
      <c r="A65" s="1" t="s">
        <v>46</v>
      </c>
      <c r="B65" s="1">
        <v>2019</v>
      </c>
      <c r="C65" s="1">
        <v>4</v>
      </c>
      <c r="D65" s="3">
        <v>97716</v>
      </c>
      <c r="E65" s="1">
        <v>102</v>
      </c>
    </row>
    <row r="66" spans="1:5" ht="23.1" customHeight="1">
      <c r="A66" s="1" t="s">
        <v>46</v>
      </c>
      <c r="B66" s="1">
        <v>2019</v>
      </c>
      <c r="C66" s="1">
        <v>5</v>
      </c>
      <c r="D66" s="3">
        <v>429962</v>
      </c>
      <c r="E66" s="1">
        <v>299</v>
      </c>
    </row>
    <row r="67" spans="1:5" ht="23.1" customHeight="1">
      <c r="A67" s="1" t="s">
        <v>46</v>
      </c>
      <c r="B67" s="1">
        <v>2019</v>
      </c>
      <c r="C67" s="1">
        <v>6</v>
      </c>
      <c r="D67" s="3">
        <v>174240</v>
      </c>
      <c r="E67" s="1">
        <v>165</v>
      </c>
    </row>
    <row r="68" spans="1:5" ht="23.1" customHeight="1">
      <c r="A68" s="1" t="s">
        <v>46</v>
      </c>
      <c r="B68" s="1">
        <v>2019</v>
      </c>
      <c r="C68" s="1">
        <v>7</v>
      </c>
      <c r="D68" s="3">
        <v>343252</v>
      </c>
      <c r="E68" s="1">
        <v>287</v>
      </c>
    </row>
    <row r="69" spans="1:5" ht="23.1" customHeight="1">
      <c r="A69" s="1" t="s">
        <v>46</v>
      </c>
      <c r="B69" s="1">
        <v>2019</v>
      </c>
      <c r="C69" s="1">
        <v>8</v>
      </c>
      <c r="D69" s="3">
        <v>197064</v>
      </c>
      <c r="E69" s="1">
        <v>204</v>
      </c>
    </row>
    <row r="70" spans="1:5" ht="23.1" customHeight="1">
      <c r="A70" s="1" t="s">
        <v>46</v>
      </c>
      <c r="B70" s="1">
        <v>2019</v>
      </c>
      <c r="C70" s="1">
        <v>9</v>
      </c>
      <c r="D70" s="3">
        <v>276804</v>
      </c>
      <c r="E70" s="1">
        <v>233</v>
      </c>
    </row>
    <row r="71" spans="1:5" ht="23.1" customHeight="1">
      <c r="A71" s="1" t="s">
        <v>46</v>
      </c>
      <c r="B71" s="1">
        <v>2019</v>
      </c>
      <c r="C71" s="1">
        <v>10</v>
      </c>
      <c r="D71" s="3">
        <v>381700</v>
      </c>
      <c r="E71" s="1">
        <v>275</v>
      </c>
    </row>
    <row r="72" spans="1:5" ht="23.1" customHeight="1">
      <c r="A72" s="1" t="s">
        <v>46</v>
      </c>
      <c r="B72" s="1">
        <v>2019</v>
      </c>
      <c r="C72" s="1">
        <v>11</v>
      </c>
      <c r="D72" s="3">
        <v>264600</v>
      </c>
      <c r="E72" s="1">
        <v>175</v>
      </c>
    </row>
    <row r="73" spans="1:5" ht="23.1" customHeight="1">
      <c r="A73" s="1" t="s">
        <v>46</v>
      </c>
      <c r="B73" s="1">
        <v>2019</v>
      </c>
      <c r="C73" s="1">
        <v>12</v>
      </c>
      <c r="D73" s="3">
        <v>118658</v>
      </c>
      <c r="E73" s="1">
        <v>158</v>
      </c>
    </row>
    <row r="74" spans="1:5" ht="23.1" customHeight="1">
      <c r="A74" s="1" t="s">
        <v>38</v>
      </c>
      <c r="B74" s="1">
        <v>2018</v>
      </c>
      <c r="C74" s="1">
        <v>1</v>
      </c>
      <c r="D74" s="3">
        <v>308066</v>
      </c>
      <c r="E74" s="1">
        <v>209</v>
      </c>
    </row>
    <row r="75" spans="1:5" ht="23.1" customHeight="1">
      <c r="A75" s="1" t="s">
        <v>38</v>
      </c>
      <c r="B75" s="1">
        <v>2018</v>
      </c>
      <c r="C75" s="1">
        <v>2</v>
      </c>
      <c r="D75" s="3">
        <v>271606</v>
      </c>
      <c r="E75" s="1">
        <v>278</v>
      </c>
    </row>
    <row r="76" spans="1:5" ht="23.1" customHeight="1">
      <c r="A76" s="1" t="s">
        <v>38</v>
      </c>
      <c r="B76" s="1">
        <v>2018</v>
      </c>
      <c r="C76" s="1">
        <v>3</v>
      </c>
      <c r="D76" s="3">
        <v>287718</v>
      </c>
      <c r="E76" s="1">
        <v>237</v>
      </c>
    </row>
    <row r="77" spans="1:5" ht="23.1" customHeight="1">
      <c r="A77" s="1" t="s">
        <v>38</v>
      </c>
      <c r="B77" s="1">
        <v>2018</v>
      </c>
      <c r="C77" s="1">
        <v>4</v>
      </c>
      <c r="D77" s="3">
        <v>290030</v>
      </c>
      <c r="E77" s="1">
        <v>299</v>
      </c>
    </row>
    <row r="78" spans="1:5" ht="23.1" customHeight="1">
      <c r="A78" s="1" t="s">
        <v>38</v>
      </c>
      <c r="B78" s="1">
        <v>2018</v>
      </c>
      <c r="C78" s="1">
        <v>5</v>
      </c>
      <c r="D78" s="3">
        <v>140065</v>
      </c>
      <c r="E78" s="1">
        <v>109</v>
      </c>
    </row>
    <row r="79" spans="1:5" ht="23.1" customHeight="1">
      <c r="A79" s="1" t="s">
        <v>38</v>
      </c>
      <c r="B79" s="1">
        <v>2018</v>
      </c>
      <c r="C79" s="1">
        <v>6</v>
      </c>
      <c r="D79" s="3">
        <v>137360</v>
      </c>
      <c r="E79" s="1">
        <v>170</v>
      </c>
    </row>
    <row r="80" spans="1:5" ht="23.1" customHeight="1">
      <c r="A80" s="1" t="s">
        <v>38</v>
      </c>
      <c r="B80" s="1">
        <v>2018</v>
      </c>
      <c r="C80" s="1">
        <v>7</v>
      </c>
      <c r="D80" s="3">
        <v>253935</v>
      </c>
      <c r="E80" s="1">
        <v>285</v>
      </c>
    </row>
    <row r="81" spans="1:5" ht="23.1" customHeight="1">
      <c r="A81" s="1" t="s">
        <v>38</v>
      </c>
      <c r="B81" s="1">
        <v>2018</v>
      </c>
      <c r="C81" s="1">
        <v>8</v>
      </c>
      <c r="D81" s="3">
        <v>193284</v>
      </c>
      <c r="E81" s="1">
        <v>273</v>
      </c>
    </row>
    <row r="82" spans="1:5" ht="23.1" customHeight="1">
      <c r="A82" s="1" t="s">
        <v>38</v>
      </c>
      <c r="B82" s="1">
        <v>2018</v>
      </c>
      <c r="C82" s="1">
        <v>9</v>
      </c>
      <c r="D82" s="3">
        <v>121930</v>
      </c>
      <c r="E82" s="1">
        <v>137</v>
      </c>
    </row>
    <row r="83" spans="1:5" ht="23.1" customHeight="1">
      <c r="A83" s="1" t="s">
        <v>38</v>
      </c>
      <c r="B83" s="1">
        <v>2018</v>
      </c>
      <c r="C83" s="1">
        <v>10</v>
      </c>
      <c r="D83" s="3">
        <v>253080</v>
      </c>
      <c r="E83" s="1">
        <v>296</v>
      </c>
    </row>
    <row r="84" spans="1:5" ht="23.1" customHeight="1">
      <c r="A84" s="1" t="s">
        <v>38</v>
      </c>
      <c r="B84" s="1">
        <v>2018</v>
      </c>
      <c r="C84" s="1">
        <v>11</v>
      </c>
      <c r="D84" s="3">
        <v>278075</v>
      </c>
      <c r="E84" s="1">
        <v>245</v>
      </c>
    </row>
    <row r="85" spans="1:5" ht="23.1" customHeight="1">
      <c r="A85" s="1" t="s">
        <v>38</v>
      </c>
      <c r="B85" s="1">
        <v>2018</v>
      </c>
      <c r="C85" s="1">
        <v>12</v>
      </c>
      <c r="D85" s="3">
        <v>207998</v>
      </c>
      <c r="E85" s="1">
        <v>166</v>
      </c>
    </row>
    <row r="86" spans="1:5" ht="23.1" customHeight="1">
      <c r="A86" s="1" t="s">
        <v>38</v>
      </c>
      <c r="B86" s="1">
        <v>2019</v>
      </c>
      <c r="C86" s="1">
        <v>1</v>
      </c>
      <c r="D86" s="3">
        <v>315240</v>
      </c>
      <c r="E86" s="1">
        <v>213</v>
      </c>
    </row>
    <row r="87" spans="1:5" ht="23.1" customHeight="1">
      <c r="A87" s="1" t="s">
        <v>38</v>
      </c>
      <c r="B87" s="1">
        <v>2019</v>
      </c>
      <c r="C87" s="1">
        <v>2</v>
      </c>
      <c r="D87" s="3">
        <v>296820</v>
      </c>
      <c r="E87" s="1">
        <v>291</v>
      </c>
    </row>
    <row r="88" spans="1:5" ht="23.1" customHeight="1">
      <c r="A88" s="1" t="s">
        <v>38</v>
      </c>
      <c r="B88" s="1">
        <v>2019</v>
      </c>
      <c r="C88" s="1">
        <v>3</v>
      </c>
      <c r="D88" s="3">
        <v>312174</v>
      </c>
      <c r="E88" s="1">
        <v>246</v>
      </c>
    </row>
    <row r="89" spans="1:5" ht="23.1" customHeight="1">
      <c r="A89" s="1" t="s">
        <v>38</v>
      </c>
      <c r="B89" s="1">
        <v>2019</v>
      </c>
      <c r="C89" s="1">
        <v>4</v>
      </c>
      <c r="D89" s="3">
        <v>311202</v>
      </c>
      <c r="E89" s="1">
        <v>306</v>
      </c>
    </row>
    <row r="90" spans="1:5" ht="23.1" customHeight="1">
      <c r="A90" s="1" t="s">
        <v>38</v>
      </c>
      <c r="B90" s="1">
        <v>2019</v>
      </c>
      <c r="C90" s="1">
        <v>5</v>
      </c>
      <c r="D90" s="3">
        <v>142890</v>
      </c>
      <c r="E90" s="1">
        <v>110</v>
      </c>
    </row>
    <row r="91" spans="1:5" ht="23.1" customHeight="1">
      <c r="A91" s="1" t="s">
        <v>38</v>
      </c>
      <c r="B91" s="1">
        <v>2019</v>
      </c>
      <c r="C91" s="1">
        <v>6</v>
      </c>
      <c r="D91" s="3">
        <v>139836</v>
      </c>
      <c r="E91" s="1">
        <v>172</v>
      </c>
    </row>
    <row r="92" spans="1:5" ht="23.1" customHeight="1">
      <c r="A92" s="1" t="s">
        <v>38</v>
      </c>
      <c r="B92" s="1">
        <v>2019</v>
      </c>
      <c r="C92" s="1">
        <v>7</v>
      </c>
      <c r="D92" s="3">
        <v>270921</v>
      </c>
      <c r="E92" s="1">
        <v>291</v>
      </c>
    </row>
    <row r="93" spans="1:5" ht="23.1" customHeight="1">
      <c r="A93" s="1" t="s">
        <v>38</v>
      </c>
      <c r="B93" s="1">
        <v>2019</v>
      </c>
      <c r="C93" s="1">
        <v>8</v>
      </c>
      <c r="D93" s="3">
        <v>207765</v>
      </c>
      <c r="E93" s="1">
        <v>285</v>
      </c>
    </row>
    <row r="94" spans="1:5" ht="23.1" customHeight="1">
      <c r="A94" s="1" t="s">
        <v>38</v>
      </c>
      <c r="B94" s="1">
        <v>2019</v>
      </c>
      <c r="C94" s="1">
        <v>9</v>
      </c>
      <c r="D94" s="3">
        <v>126588</v>
      </c>
      <c r="E94" s="1">
        <v>137</v>
      </c>
    </row>
    <row r="95" spans="1:5" ht="23.1" customHeight="1">
      <c r="A95" s="1" t="s">
        <v>38</v>
      </c>
      <c r="B95" s="1">
        <v>2019</v>
      </c>
      <c r="C95" s="1">
        <v>10</v>
      </c>
      <c r="D95" s="3">
        <v>267397</v>
      </c>
      <c r="E95" s="1">
        <v>307</v>
      </c>
    </row>
    <row r="96" spans="1:5" ht="23.1" customHeight="1">
      <c r="A96" s="1" t="s">
        <v>38</v>
      </c>
      <c r="B96" s="1">
        <v>2019</v>
      </c>
      <c r="C96" s="1">
        <v>11</v>
      </c>
      <c r="D96" s="3">
        <v>287184</v>
      </c>
      <c r="E96" s="1">
        <v>248</v>
      </c>
    </row>
    <row r="97" spans="1:5" ht="23.1" customHeight="1">
      <c r="A97" s="1" t="s">
        <v>38</v>
      </c>
      <c r="B97" s="1">
        <v>2019</v>
      </c>
      <c r="C97" s="1">
        <v>12</v>
      </c>
      <c r="D97" s="3">
        <v>227592</v>
      </c>
      <c r="E97" s="1">
        <v>174</v>
      </c>
    </row>
    <row r="98" spans="1:5" ht="23.1" customHeight="1">
      <c r="A98" s="1" t="s">
        <v>47</v>
      </c>
      <c r="B98" s="1">
        <v>2018</v>
      </c>
      <c r="C98" s="1">
        <v>1</v>
      </c>
      <c r="D98" s="3">
        <v>293196</v>
      </c>
      <c r="E98" s="1">
        <v>212</v>
      </c>
    </row>
    <row r="99" spans="1:5" ht="23.1" customHeight="1">
      <c r="A99" s="1" t="s">
        <v>47</v>
      </c>
      <c r="B99" s="1">
        <v>2018</v>
      </c>
      <c r="C99" s="1">
        <v>2</v>
      </c>
      <c r="D99" s="3">
        <v>192950</v>
      </c>
      <c r="E99" s="1">
        <v>227</v>
      </c>
    </row>
    <row r="100" spans="1:5" ht="23.1" customHeight="1">
      <c r="A100" s="1" t="s">
        <v>47</v>
      </c>
      <c r="B100" s="1">
        <v>2018</v>
      </c>
      <c r="C100" s="1">
        <v>3</v>
      </c>
      <c r="D100" s="3">
        <v>207024</v>
      </c>
      <c r="E100" s="1">
        <v>228</v>
      </c>
    </row>
    <row r="101" spans="1:5" ht="23.1" customHeight="1">
      <c r="A101" s="1" t="s">
        <v>47</v>
      </c>
      <c r="B101" s="1">
        <v>2018</v>
      </c>
      <c r="C101" s="1">
        <v>4</v>
      </c>
      <c r="D101" s="3">
        <v>427977</v>
      </c>
      <c r="E101" s="1">
        <v>297</v>
      </c>
    </row>
    <row r="102" spans="1:5" ht="23.1" customHeight="1">
      <c r="A102" s="1" t="s">
        <v>47</v>
      </c>
      <c r="B102" s="1">
        <v>2018</v>
      </c>
      <c r="C102" s="1">
        <v>5</v>
      </c>
      <c r="D102" s="3">
        <v>187867</v>
      </c>
      <c r="E102" s="1">
        <v>257</v>
      </c>
    </row>
    <row r="103" spans="1:5" ht="23.1" customHeight="1">
      <c r="A103" s="1" t="s">
        <v>47</v>
      </c>
      <c r="B103" s="1">
        <v>2018</v>
      </c>
      <c r="C103" s="1">
        <v>6</v>
      </c>
      <c r="D103" s="3">
        <v>217208</v>
      </c>
      <c r="E103" s="1">
        <v>152</v>
      </c>
    </row>
    <row r="104" spans="1:5" ht="23.1" customHeight="1">
      <c r="A104" s="1" t="s">
        <v>47</v>
      </c>
      <c r="B104" s="1">
        <v>2018</v>
      </c>
      <c r="C104" s="1">
        <v>7</v>
      </c>
      <c r="D104" s="3">
        <v>218776</v>
      </c>
      <c r="E104" s="1">
        <v>164</v>
      </c>
    </row>
    <row r="105" spans="1:5" ht="23.1" customHeight="1">
      <c r="A105" s="1" t="s">
        <v>47</v>
      </c>
      <c r="B105" s="1">
        <v>2018</v>
      </c>
      <c r="C105" s="1">
        <v>8</v>
      </c>
      <c r="D105" s="3">
        <v>312432</v>
      </c>
      <c r="E105" s="1">
        <v>276</v>
      </c>
    </row>
    <row r="106" spans="1:5" ht="23.1" customHeight="1">
      <c r="A106" s="1" t="s">
        <v>47</v>
      </c>
      <c r="B106" s="1">
        <v>2018</v>
      </c>
      <c r="C106" s="1">
        <v>9</v>
      </c>
      <c r="D106" s="3">
        <v>151557</v>
      </c>
      <c r="E106" s="1">
        <v>147</v>
      </c>
    </row>
    <row r="107" spans="1:5" ht="23.1" customHeight="1">
      <c r="A107" s="1" t="s">
        <v>47</v>
      </c>
      <c r="B107" s="1">
        <v>2018</v>
      </c>
      <c r="C107" s="1">
        <v>10</v>
      </c>
      <c r="D107" s="3">
        <v>245991</v>
      </c>
      <c r="E107" s="1">
        <v>167</v>
      </c>
    </row>
    <row r="108" spans="1:5" ht="23.1" customHeight="1">
      <c r="A108" s="1" t="s">
        <v>47</v>
      </c>
      <c r="B108" s="1">
        <v>2018</v>
      </c>
      <c r="C108" s="1">
        <v>11</v>
      </c>
      <c r="D108" s="3">
        <v>142206</v>
      </c>
      <c r="E108" s="1">
        <v>173</v>
      </c>
    </row>
    <row r="109" spans="1:5" ht="23.1" customHeight="1">
      <c r="A109" s="1" t="s">
        <v>47</v>
      </c>
      <c r="B109" s="1">
        <v>2018</v>
      </c>
      <c r="C109" s="1">
        <v>12</v>
      </c>
      <c r="D109" s="3">
        <v>270300</v>
      </c>
      <c r="E109" s="1">
        <v>255</v>
      </c>
    </row>
    <row r="110" spans="1:5" ht="23.1" customHeight="1">
      <c r="A110" s="1" t="s">
        <v>47</v>
      </c>
      <c r="B110" s="1">
        <v>2019</v>
      </c>
      <c r="C110" s="1">
        <v>1</v>
      </c>
      <c r="D110" s="3">
        <v>314922</v>
      </c>
      <c r="E110" s="1">
        <v>219</v>
      </c>
    </row>
    <row r="111" spans="1:5" ht="23.1" customHeight="1">
      <c r="A111" s="1" t="s">
        <v>47</v>
      </c>
      <c r="B111" s="1">
        <v>2019</v>
      </c>
      <c r="C111" s="1">
        <v>2</v>
      </c>
      <c r="D111" s="3">
        <v>202356</v>
      </c>
      <c r="E111" s="1">
        <v>231</v>
      </c>
    </row>
    <row r="112" spans="1:5" ht="23.1" customHeight="1">
      <c r="A112" s="1" t="s">
        <v>47</v>
      </c>
      <c r="B112" s="1">
        <v>2019</v>
      </c>
      <c r="C112" s="1">
        <v>3</v>
      </c>
      <c r="D112" s="3">
        <v>215059</v>
      </c>
      <c r="E112" s="1">
        <v>233</v>
      </c>
    </row>
    <row r="113" spans="1:5" ht="23.1" customHeight="1">
      <c r="A113" s="1" t="s">
        <v>47</v>
      </c>
      <c r="B113" s="1">
        <v>2019</v>
      </c>
      <c r="C113" s="1">
        <v>4</v>
      </c>
      <c r="D113" s="3">
        <v>440400</v>
      </c>
      <c r="E113" s="1">
        <v>300</v>
      </c>
    </row>
    <row r="114" spans="1:5" ht="23.1" customHeight="1">
      <c r="A114" s="1" t="s">
        <v>47</v>
      </c>
      <c r="B114" s="1">
        <v>2019</v>
      </c>
      <c r="C114" s="1">
        <v>5</v>
      </c>
      <c r="D114" s="3">
        <v>196762</v>
      </c>
      <c r="E114" s="1">
        <v>262</v>
      </c>
    </row>
    <row r="115" spans="1:5" ht="23.1" customHeight="1">
      <c r="A115" s="1" t="s">
        <v>47</v>
      </c>
      <c r="B115" s="1">
        <v>2019</v>
      </c>
      <c r="C115" s="1">
        <v>6</v>
      </c>
      <c r="D115" s="3">
        <v>225215</v>
      </c>
      <c r="E115" s="1">
        <v>155</v>
      </c>
    </row>
    <row r="116" spans="1:5" ht="23.1" customHeight="1">
      <c r="A116" s="1" t="s">
        <v>47</v>
      </c>
      <c r="B116" s="1">
        <v>2019</v>
      </c>
      <c r="C116" s="1">
        <v>7</v>
      </c>
      <c r="D116" s="3">
        <v>223613</v>
      </c>
      <c r="E116" s="1">
        <v>167</v>
      </c>
    </row>
    <row r="117" spans="1:5" ht="23.1" customHeight="1">
      <c r="A117" s="1" t="s">
        <v>47</v>
      </c>
      <c r="B117" s="1">
        <v>2019</v>
      </c>
      <c r="C117" s="1">
        <v>8</v>
      </c>
      <c r="D117" s="3">
        <v>329184</v>
      </c>
      <c r="E117" s="1">
        <v>288</v>
      </c>
    </row>
    <row r="118" spans="1:5" ht="23.1" customHeight="1">
      <c r="A118" s="1" t="s">
        <v>47</v>
      </c>
      <c r="B118" s="1">
        <v>2019</v>
      </c>
      <c r="C118" s="1">
        <v>9</v>
      </c>
      <c r="D118" s="3">
        <v>159248</v>
      </c>
      <c r="E118" s="1">
        <v>148</v>
      </c>
    </row>
    <row r="119" spans="1:5" ht="23.1" customHeight="1">
      <c r="A119" s="1" t="s">
        <v>47</v>
      </c>
      <c r="B119" s="1">
        <v>2019</v>
      </c>
      <c r="C119" s="1">
        <v>10</v>
      </c>
      <c r="D119" s="3">
        <v>268308</v>
      </c>
      <c r="E119" s="1">
        <v>174</v>
      </c>
    </row>
    <row r="120" spans="1:5" ht="23.1" customHeight="1">
      <c r="A120" s="1" t="s">
        <v>47</v>
      </c>
      <c r="B120" s="1">
        <v>2019</v>
      </c>
      <c r="C120" s="1">
        <v>11</v>
      </c>
      <c r="D120" s="3">
        <v>149144</v>
      </c>
      <c r="E120" s="1">
        <v>181</v>
      </c>
    </row>
    <row r="121" spans="1:5" ht="23.1" customHeight="1">
      <c r="A121" s="1" t="s">
        <v>47</v>
      </c>
      <c r="B121" s="1">
        <v>2019</v>
      </c>
      <c r="C121" s="1">
        <v>12</v>
      </c>
      <c r="D121" s="3">
        <v>284088</v>
      </c>
      <c r="E121" s="1">
        <v>267</v>
      </c>
    </row>
    <row r="122" spans="1:5" ht="23.1" customHeight="1">
      <c r="A122" s="1" t="s">
        <v>52</v>
      </c>
      <c r="B122" s="1">
        <v>2018</v>
      </c>
      <c r="C122" s="1">
        <v>1</v>
      </c>
      <c r="D122" s="3">
        <v>235788</v>
      </c>
      <c r="E122" s="1">
        <v>294</v>
      </c>
    </row>
    <row r="123" spans="1:5" ht="23.1" customHeight="1">
      <c r="A123" s="1" t="s">
        <v>52</v>
      </c>
      <c r="B123" s="1">
        <v>2018</v>
      </c>
      <c r="C123" s="1">
        <v>2</v>
      </c>
      <c r="D123" s="3">
        <v>229500</v>
      </c>
      <c r="E123" s="1">
        <v>225</v>
      </c>
    </row>
    <row r="124" spans="1:5" ht="23.1" customHeight="1">
      <c r="A124" s="1" t="s">
        <v>52</v>
      </c>
      <c r="B124" s="1">
        <v>2018</v>
      </c>
      <c r="C124" s="1">
        <v>3</v>
      </c>
      <c r="D124" s="3">
        <v>127008</v>
      </c>
      <c r="E124" s="1">
        <v>144</v>
      </c>
    </row>
    <row r="125" spans="1:5" ht="23.1" customHeight="1">
      <c r="A125" s="1" t="s">
        <v>52</v>
      </c>
      <c r="B125" s="1">
        <v>2018</v>
      </c>
      <c r="C125" s="1">
        <v>4</v>
      </c>
      <c r="D125" s="3">
        <v>132583</v>
      </c>
      <c r="E125" s="1">
        <v>187</v>
      </c>
    </row>
    <row r="126" spans="1:5" ht="23.1" customHeight="1">
      <c r="A126" s="1" t="s">
        <v>52</v>
      </c>
      <c r="B126" s="1">
        <v>2018</v>
      </c>
      <c r="C126" s="1">
        <v>5</v>
      </c>
      <c r="D126" s="3">
        <v>198744</v>
      </c>
      <c r="E126" s="1">
        <v>182</v>
      </c>
    </row>
    <row r="127" spans="1:5" ht="23.1" customHeight="1">
      <c r="A127" s="1" t="s">
        <v>52</v>
      </c>
      <c r="B127" s="1">
        <v>2018</v>
      </c>
      <c r="C127" s="1">
        <v>6</v>
      </c>
      <c r="D127" s="3">
        <v>230790</v>
      </c>
      <c r="E127" s="1">
        <v>245</v>
      </c>
    </row>
    <row r="128" spans="1:5" ht="23.1" customHeight="1">
      <c r="A128" s="1" t="s">
        <v>52</v>
      </c>
      <c r="B128" s="1">
        <v>2018</v>
      </c>
      <c r="C128" s="1">
        <v>7</v>
      </c>
      <c r="D128" s="3">
        <v>267850</v>
      </c>
      <c r="E128" s="1">
        <v>275</v>
      </c>
    </row>
    <row r="129" spans="1:5" ht="23.1" customHeight="1">
      <c r="A129" s="1" t="s">
        <v>52</v>
      </c>
      <c r="B129" s="1">
        <v>2018</v>
      </c>
      <c r="C129" s="1">
        <v>8</v>
      </c>
      <c r="D129" s="3">
        <v>154656</v>
      </c>
      <c r="E129" s="1">
        <v>108</v>
      </c>
    </row>
    <row r="130" spans="1:5" ht="23.1" customHeight="1">
      <c r="A130" s="1" t="s">
        <v>52</v>
      </c>
      <c r="B130" s="1">
        <v>2018</v>
      </c>
      <c r="C130" s="1">
        <v>9</v>
      </c>
      <c r="D130" s="3">
        <v>158236</v>
      </c>
      <c r="E130" s="1">
        <v>221</v>
      </c>
    </row>
    <row r="131" spans="1:5" ht="23.1" customHeight="1">
      <c r="A131" s="1" t="s">
        <v>52</v>
      </c>
      <c r="B131" s="1">
        <v>2018</v>
      </c>
      <c r="C131" s="1">
        <v>10</v>
      </c>
      <c r="D131" s="3">
        <v>294147</v>
      </c>
      <c r="E131" s="1">
        <v>203</v>
      </c>
    </row>
    <row r="132" spans="1:5" ht="23.1" customHeight="1">
      <c r="A132" s="1" t="s">
        <v>52</v>
      </c>
      <c r="B132" s="1">
        <v>2018</v>
      </c>
      <c r="C132" s="1">
        <v>11</v>
      </c>
      <c r="D132" s="3">
        <v>272076</v>
      </c>
      <c r="E132" s="1">
        <v>287</v>
      </c>
    </row>
    <row r="133" spans="1:5" ht="23.1" customHeight="1">
      <c r="A133" s="1" t="s">
        <v>52</v>
      </c>
      <c r="B133" s="1">
        <v>2018</v>
      </c>
      <c r="C133" s="1">
        <v>12</v>
      </c>
      <c r="D133" s="3">
        <v>303149</v>
      </c>
      <c r="E133" s="1">
        <v>217</v>
      </c>
    </row>
    <row r="134" spans="1:5" ht="23.1" customHeight="1">
      <c r="A134" s="1" t="s">
        <v>52</v>
      </c>
      <c r="B134" s="1">
        <v>2019</v>
      </c>
      <c r="C134" s="1">
        <v>1</v>
      </c>
      <c r="D134" s="3">
        <v>243208</v>
      </c>
      <c r="E134" s="1">
        <v>301</v>
      </c>
    </row>
    <row r="135" spans="1:5" ht="23.1" customHeight="1">
      <c r="A135" s="1" t="s">
        <v>52</v>
      </c>
      <c r="B135" s="1">
        <v>2019</v>
      </c>
      <c r="C135" s="1">
        <v>2</v>
      </c>
      <c r="D135" s="3">
        <v>239850</v>
      </c>
      <c r="E135" s="1">
        <v>234</v>
      </c>
    </row>
    <row r="136" spans="1:5" ht="23.1" customHeight="1">
      <c r="A136" s="1" t="s">
        <v>52</v>
      </c>
      <c r="B136" s="1">
        <v>2019</v>
      </c>
      <c r="C136" s="1">
        <v>3</v>
      </c>
      <c r="D136" s="3">
        <v>135598</v>
      </c>
      <c r="E136" s="1">
        <v>151</v>
      </c>
    </row>
    <row r="137" spans="1:5" ht="23.1" customHeight="1">
      <c r="A137" s="1" t="s">
        <v>52</v>
      </c>
      <c r="B137" s="1">
        <v>2019</v>
      </c>
      <c r="C137" s="1">
        <v>4</v>
      </c>
      <c r="D137" s="3">
        <v>144452</v>
      </c>
      <c r="E137" s="1">
        <v>196</v>
      </c>
    </row>
    <row r="138" spans="1:5" ht="23.1" customHeight="1">
      <c r="A138" s="1" t="s">
        <v>52</v>
      </c>
      <c r="B138" s="1">
        <v>2019</v>
      </c>
      <c r="C138" s="1">
        <v>5</v>
      </c>
      <c r="D138" s="3">
        <v>208288</v>
      </c>
      <c r="E138" s="1">
        <v>184</v>
      </c>
    </row>
    <row r="139" spans="1:5" ht="23.1" customHeight="1">
      <c r="A139" s="1" t="s">
        <v>52</v>
      </c>
      <c r="B139" s="1">
        <v>2019</v>
      </c>
      <c r="C139" s="1">
        <v>6</v>
      </c>
      <c r="D139" s="3">
        <v>245410</v>
      </c>
      <c r="E139" s="1">
        <v>253</v>
      </c>
    </row>
    <row r="140" spans="1:5" ht="23.1" customHeight="1">
      <c r="A140" s="1" t="s">
        <v>52</v>
      </c>
      <c r="B140" s="1">
        <v>2019</v>
      </c>
      <c r="C140" s="1">
        <v>7</v>
      </c>
      <c r="D140" s="3">
        <v>276900</v>
      </c>
      <c r="E140" s="1">
        <v>284</v>
      </c>
    </row>
    <row r="141" spans="1:5" ht="23.1" customHeight="1">
      <c r="A141" s="1" t="s">
        <v>52</v>
      </c>
      <c r="B141" s="1">
        <v>2019</v>
      </c>
      <c r="C141" s="1">
        <v>8</v>
      </c>
      <c r="D141" s="3">
        <v>165536</v>
      </c>
      <c r="E141" s="1">
        <v>112</v>
      </c>
    </row>
    <row r="142" spans="1:5" ht="23.1" customHeight="1">
      <c r="A142" s="1" t="s">
        <v>52</v>
      </c>
      <c r="B142" s="1">
        <v>2019</v>
      </c>
      <c r="C142" s="1">
        <v>9</v>
      </c>
      <c r="D142" s="3">
        <v>163894</v>
      </c>
      <c r="E142" s="1">
        <v>227</v>
      </c>
    </row>
    <row r="143" spans="1:5" ht="23.1" customHeight="1">
      <c r="A143" s="1" t="s">
        <v>52</v>
      </c>
      <c r="B143" s="1">
        <v>2019</v>
      </c>
      <c r="C143" s="1">
        <v>10</v>
      </c>
      <c r="D143" s="3">
        <v>303255</v>
      </c>
      <c r="E143" s="1">
        <v>207</v>
      </c>
    </row>
    <row r="144" spans="1:5" ht="23.1" customHeight="1">
      <c r="A144" s="1" t="s">
        <v>52</v>
      </c>
      <c r="B144" s="1">
        <v>2019</v>
      </c>
      <c r="C144" s="1">
        <v>11</v>
      </c>
      <c r="D144" s="3">
        <v>274261</v>
      </c>
      <c r="E144" s="1">
        <v>289</v>
      </c>
    </row>
    <row r="145" spans="1:5" ht="23.1" customHeight="1">
      <c r="A145" s="1" t="s">
        <v>52</v>
      </c>
      <c r="B145" s="1">
        <v>2019</v>
      </c>
      <c r="C145" s="1">
        <v>12</v>
      </c>
      <c r="D145" s="3">
        <v>317798</v>
      </c>
      <c r="E145" s="1">
        <v>221</v>
      </c>
    </row>
    <row r="146" spans="1:5" ht="23.1" customHeight="1">
      <c r="A146" s="1" t="s">
        <v>57</v>
      </c>
      <c r="B146" s="1">
        <v>2018</v>
      </c>
      <c r="C146" s="1">
        <v>1</v>
      </c>
      <c r="D146" s="3">
        <v>252569</v>
      </c>
      <c r="E146" s="1">
        <v>179</v>
      </c>
    </row>
    <row r="147" spans="1:5" ht="23.1" customHeight="1">
      <c r="A147" s="1" t="s">
        <v>57</v>
      </c>
      <c r="B147" s="1">
        <v>2018</v>
      </c>
      <c r="C147" s="1">
        <v>2</v>
      </c>
      <c r="D147" s="3">
        <v>168840</v>
      </c>
      <c r="E147" s="1">
        <v>134</v>
      </c>
    </row>
    <row r="148" spans="1:5" ht="23.1" customHeight="1">
      <c r="A148" s="1" t="s">
        <v>57</v>
      </c>
      <c r="B148" s="1">
        <v>2018</v>
      </c>
      <c r="C148" s="1">
        <v>3</v>
      </c>
      <c r="D148" s="3">
        <v>121050</v>
      </c>
      <c r="E148" s="1">
        <v>150</v>
      </c>
    </row>
    <row r="149" spans="1:5" ht="23.1" customHeight="1">
      <c r="A149" s="1" t="s">
        <v>57</v>
      </c>
      <c r="B149" s="1">
        <v>2018</v>
      </c>
      <c r="C149" s="1">
        <v>4</v>
      </c>
      <c r="D149" s="3">
        <v>298146</v>
      </c>
      <c r="E149" s="1">
        <v>237</v>
      </c>
    </row>
    <row r="150" spans="1:5" ht="23.1" customHeight="1">
      <c r="A150" s="1" t="s">
        <v>57</v>
      </c>
      <c r="B150" s="1">
        <v>2018</v>
      </c>
      <c r="C150" s="1">
        <v>5</v>
      </c>
      <c r="D150" s="3">
        <v>260050</v>
      </c>
      <c r="E150" s="1">
        <v>175</v>
      </c>
    </row>
    <row r="151" spans="1:5" ht="23.1" customHeight="1">
      <c r="A151" s="1" t="s">
        <v>57</v>
      </c>
      <c r="B151" s="1">
        <v>2018</v>
      </c>
      <c r="C151" s="1">
        <v>6</v>
      </c>
      <c r="D151" s="3">
        <v>235300</v>
      </c>
      <c r="E151" s="1">
        <v>260</v>
      </c>
    </row>
    <row r="152" spans="1:5" ht="23.1" customHeight="1">
      <c r="A152" s="1" t="s">
        <v>57</v>
      </c>
      <c r="B152" s="1">
        <v>2018</v>
      </c>
      <c r="C152" s="1">
        <v>7</v>
      </c>
      <c r="D152" s="3">
        <v>120852</v>
      </c>
      <c r="E152" s="1">
        <v>162</v>
      </c>
    </row>
    <row r="153" spans="1:5" ht="23.1" customHeight="1">
      <c r="A153" s="1" t="s">
        <v>57</v>
      </c>
      <c r="B153" s="1">
        <v>2018</v>
      </c>
      <c r="C153" s="1">
        <v>8</v>
      </c>
      <c r="D153" s="3">
        <v>228796</v>
      </c>
      <c r="E153" s="1">
        <v>188</v>
      </c>
    </row>
    <row r="154" spans="1:5" ht="23.1" customHeight="1">
      <c r="A154" s="1" t="s">
        <v>57</v>
      </c>
      <c r="B154" s="1">
        <v>2018</v>
      </c>
      <c r="C154" s="1">
        <v>9</v>
      </c>
      <c r="D154" s="3">
        <v>311010</v>
      </c>
      <c r="E154" s="1">
        <v>210</v>
      </c>
    </row>
    <row r="155" spans="1:5" ht="23.1" customHeight="1">
      <c r="A155" s="1" t="s">
        <v>57</v>
      </c>
      <c r="B155" s="1">
        <v>2018</v>
      </c>
      <c r="C155" s="1">
        <v>10</v>
      </c>
      <c r="D155" s="3">
        <v>208575</v>
      </c>
      <c r="E155" s="1">
        <v>225</v>
      </c>
    </row>
    <row r="156" spans="1:5" ht="23.1" customHeight="1">
      <c r="A156" s="1" t="s">
        <v>57</v>
      </c>
      <c r="B156" s="1">
        <v>2018</v>
      </c>
      <c r="C156" s="1">
        <v>11</v>
      </c>
      <c r="D156" s="3">
        <v>169104</v>
      </c>
      <c r="E156" s="1">
        <v>208</v>
      </c>
    </row>
    <row r="157" spans="1:5" ht="23.1" customHeight="1">
      <c r="A157" s="1" t="s">
        <v>57</v>
      </c>
      <c r="B157" s="1">
        <v>2018</v>
      </c>
      <c r="C157" s="1">
        <v>12</v>
      </c>
      <c r="D157" s="3">
        <v>304618</v>
      </c>
      <c r="E157" s="1">
        <v>223</v>
      </c>
    </row>
    <row r="158" spans="1:5" ht="23.1" customHeight="1">
      <c r="A158" s="1" t="s">
        <v>57</v>
      </c>
      <c r="B158" s="1">
        <v>2019</v>
      </c>
      <c r="C158" s="1">
        <v>1</v>
      </c>
      <c r="D158" s="3">
        <v>261775</v>
      </c>
      <c r="E158" s="1">
        <v>185</v>
      </c>
    </row>
    <row r="159" spans="1:5" ht="23.1" customHeight="1">
      <c r="A159" s="1" t="s">
        <v>57</v>
      </c>
      <c r="B159" s="1">
        <v>2019</v>
      </c>
      <c r="C159" s="1">
        <v>2</v>
      </c>
      <c r="D159" s="3">
        <v>86765</v>
      </c>
      <c r="E159" s="1">
        <v>67</v>
      </c>
    </row>
    <row r="160" spans="1:5" ht="23.1" customHeight="1">
      <c r="A160" s="1" t="s">
        <v>57</v>
      </c>
      <c r="B160" s="1">
        <v>2019</v>
      </c>
      <c r="C160" s="1">
        <v>3</v>
      </c>
      <c r="D160" s="3">
        <v>61425</v>
      </c>
      <c r="E160" s="1">
        <v>75</v>
      </c>
    </row>
    <row r="161" spans="1:5" ht="23.1" customHeight="1">
      <c r="A161" s="1" t="s">
        <v>57</v>
      </c>
      <c r="B161" s="1">
        <v>2019</v>
      </c>
      <c r="C161" s="1">
        <v>4</v>
      </c>
      <c r="D161" s="3">
        <v>152558</v>
      </c>
      <c r="E161" s="1">
        <v>119</v>
      </c>
    </row>
    <row r="162" spans="1:5" ht="23.1" customHeight="1">
      <c r="A162" s="1" t="s">
        <v>57</v>
      </c>
      <c r="B162" s="1">
        <v>2019</v>
      </c>
      <c r="C162" s="1">
        <v>5</v>
      </c>
      <c r="D162" s="3">
        <v>132704</v>
      </c>
      <c r="E162" s="1">
        <v>88</v>
      </c>
    </row>
    <row r="163" spans="1:5" ht="23.1" customHeight="1">
      <c r="A163" s="1" t="s">
        <v>57</v>
      </c>
      <c r="B163" s="1">
        <v>2019</v>
      </c>
      <c r="C163" s="1">
        <v>6</v>
      </c>
      <c r="D163" s="3">
        <v>119470</v>
      </c>
      <c r="E163" s="1">
        <v>130</v>
      </c>
    </row>
    <row r="164" spans="1:5" ht="23.1" customHeight="1">
      <c r="A164" s="1" t="s">
        <v>57</v>
      </c>
      <c r="B164" s="1">
        <v>2019</v>
      </c>
      <c r="C164" s="1">
        <v>7</v>
      </c>
      <c r="D164" s="3">
        <v>61884</v>
      </c>
      <c r="E164" s="1">
        <v>81</v>
      </c>
    </row>
    <row r="165" spans="1:5" ht="23.1" customHeight="1">
      <c r="A165" s="1" t="s">
        <v>57</v>
      </c>
      <c r="B165" s="1">
        <v>2019</v>
      </c>
      <c r="C165" s="1">
        <v>8</v>
      </c>
      <c r="D165" s="3">
        <v>118816</v>
      </c>
      <c r="E165" s="1">
        <v>94</v>
      </c>
    </row>
    <row r="166" spans="1:5" ht="23.1" customHeight="1">
      <c r="A166" s="1" t="s">
        <v>57</v>
      </c>
      <c r="B166" s="1">
        <v>2019</v>
      </c>
      <c r="C166" s="1">
        <v>9</v>
      </c>
      <c r="D166" s="3">
        <v>162015</v>
      </c>
      <c r="E166" s="1">
        <v>105</v>
      </c>
    </row>
    <row r="167" spans="1:5" ht="23.1" customHeight="1">
      <c r="A167" s="1" t="s">
        <v>57</v>
      </c>
      <c r="B167" s="1">
        <v>2019</v>
      </c>
      <c r="C167" s="1">
        <v>10</v>
      </c>
      <c r="D167" s="3">
        <v>108367</v>
      </c>
      <c r="E167" s="1">
        <v>113</v>
      </c>
    </row>
    <row r="168" spans="1:5" ht="23.1" customHeight="1">
      <c r="A168" s="1" t="s">
        <v>57</v>
      </c>
      <c r="B168" s="1">
        <v>2019</v>
      </c>
      <c r="C168" s="1">
        <v>11</v>
      </c>
      <c r="D168" s="3">
        <v>86008</v>
      </c>
      <c r="E168" s="1">
        <v>104</v>
      </c>
    </row>
    <row r="169" spans="1:5" ht="23.1" customHeight="1">
      <c r="A169" s="1" t="s">
        <v>57</v>
      </c>
      <c r="B169" s="1">
        <v>2019</v>
      </c>
      <c r="C169" s="1">
        <v>12</v>
      </c>
      <c r="D169" s="3">
        <v>159712</v>
      </c>
      <c r="E169" s="1">
        <v>112</v>
      </c>
    </row>
    <row r="170" spans="1:5" ht="23.1" customHeight="1">
      <c r="A170" s="1" t="s">
        <v>53</v>
      </c>
      <c r="B170" s="1">
        <v>2018</v>
      </c>
      <c r="C170" s="1">
        <v>1</v>
      </c>
      <c r="D170" s="3">
        <v>268191</v>
      </c>
      <c r="E170" s="1">
        <v>297</v>
      </c>
    </row>
    <row r="171" spans="1:5" ht="23.1" customHeight="1">
      <c r="A171" s="1" t="s">
        <v>53</v>
      </c>
      <c r="B171" s="1">
        <v>2018</v>
      </c>
      <c r="C171" s="1">
        <v>2</v>
      </c>
      <c r="D171" s="3">
        <v>187078</v>
      </c>
      <c r="E171" s="1">
        <v>178</v>
      </c>
    </row>
    <row r="172" spans="1:5" ht="23.1" customHeight="1">
      <c r="A172" s="1" t="s">
        <v>53</v>
      </c>
      <c r="B172" s="1">
        <v>2018</v>
      </c>
      <c r="C172" s="1">
        <v>3</v>
      </c>
      <c r="D172" s="3">
        <v>148176</v>
      </c>
      <c r="E172" s="1">
        <v>196</v>
      </c>
    </row>
    <row r="173" spans="1:5" ht="23.1" customHeight="1">
      <c r="A173" s="1" t="s">
        <v>53</v>
      </c>
      <c r="B173" s="1">
        <v>2018</v>
      </c>
      <c r="C173" s="1">
        <v>4</v>
      </c>
      <c r="D173" s="3">
        <v>80396</v>
      </c>
      <c r="E173" s="1">
        <v>101</v>
      </c>
    </row>
    <row r="174" spans="1:5" ht="23.1" customHeight="1">
      <c r="A174" s="1" t="s">
        <v>53</v>
      </c>
      <c r="B174" s="1">
        <v>2018</v>
      </c>
      <c r="C174" s="1">
        <v>5</v>
      </c>
      <c r="D174" s="3">
        <v>214693</v>
      </c>
      <c r="E174" s="1">
        <v>173</v>
      </c>
    </row>
    <row r="175" spans="1:5" ht="23.1" customHeight="1">
      <c r="A175" s="1" t="s">
        <v>53</v>
      </c>
      <c r="B175" s="1">
        <v>2018</v>
      </c>
      <c r="C175" s="1">
        <v>6</v>
      </c>
      <c r="D175" s="3">
        <v>147312</v>
      </c>
      <c r="E175" s="1">
        <v>124</v>
      </c>
    </row>
    <row r="176" spans="1:5" ht="23.1" customHeight="1">
      <c r="A176" s="1" t="s">
        <v>53</v>
      </c>
      <c r="B176" s="1">
        <v>2018</v>
      </c>
      <c r="C176" s="1">
        <v>7</v>
      </c>
      <c r="D176" s="3">
        <v>89010</v>
      </c>
      <c r="E176" s="1">
        <v>115</v>
      </c>
    </row>
    <row r="177" spans="1:5" ht="23.1" customHeight="1">
      <c r="A177" s="1" t="s">
        <v>53</v>
      </c>
      <c r="B177" s="1">
        <v>2018</v>
      </c>
      <c r="C177" s="1">
        <v>8</v>
      </c>
      <c r="D177" s="3">
        <v>132020</v>
      </c>
      <c r="E177" s="1">
        <v>164</v>
      </c>
    </row>
    <row r="178" spans="1:5" ht="23.1" customHeight="1">
      <c r="A178" s="1" t="s">
        <v>53</v>
      </c>
      <c r="B178" s="1">
        <v>2018</v>
      </c>
      <c r="C178" s="1">
        <v>9</v>
      </c>
      <c r="D178" s="3">
        <v>194922</v>
      </c>
      <c r="E178" s="1">
        <v>221</v>
      </c>
    </row>
    <row r="179" spans="1:5" ht="23.1" customHeight="1">
      <c r="A179" s="1" t="s">
        <v>53</v>
      </c>
      <c r="B179" s="1">
        <v>2018</v>
      </c>
      <c r="C179" s="1">
        <v>10</v>
      </c>
      <c r="D179" s="3">
        <v>328264</v>
      </c>
      <c r="E179" s="1">
        <v>296</v>
      </c>
    </row>
    <row r="180" spans="1:5" ht="23.1" customHeight="1">
      <c r="A180" s="1" t="s">
        <v>53</v>
      </c>
      <c r="B180" s="1">
        <v>2018</v>
      </c>
      <c r="C180" s="1">
        <v>11</v>
      </c>
      <c r="D180" s="3">
        <v>182166</v>
      </c>
      <c r="E180" s="1">
        <v>194</v>
      </c>
    </row>
    <row r="181" spans="1:5" ht="23.1" customHeight="1">
      <c r="A181" s="1" t="s">
        <v>53</v>
      </c>
      <c r="B181" s="1">
        <v>2018</v>
      </c>
      <c r="C181" s="1">
        <v>12</v>
      </c>
      <c r="D181" s="3">
        <v>214602</v>
      </c>
      <c r="E181" s="1">
        <v>282</v>
      </c>
    </row>
    <row r="182" spans="1:5" ht="23.1" customHeight="1">
      <c r="A182" s="1" t="s">
        <v>53</v>
      </c>
      <c r="B182" s="1">
        <v>2019</v>
      </c>
      <c r="C182" s="1">
        <v>1</v>
      </c>
      <c r="D182" s="3">
        <v>275424</v>
      </c>
      <c r="E182" s="1">
        <v>302</v>
      </c>
    </row>
    <row r="183" spans="1:5" ht="23.1" customHeight="1">
      <c r="A183" s="1" t="s">
        <v>53</v>
      </c>
      <c r="B183" s="1">
        <v>2019</v>
      </c>
      <c r="C183" s="1">
        <v>2</v>
      </c>
      <c r="D183" s="3">
        <v>95052</v>
      </c>
      <c r="E183" s="1">
        <v>89</v>
      </c>
    </row>
    <row r="184" spans="1:5" ht="23.1" customHeight="1">
      <c r="A184" s="1" t="s">
        <v>53</v>
      </c>
      <c r="B184" s="1">
        <v>2019</v>
      </c>
      <c r="C184" s="1">
        <v>3</v>
      </c>
      <c r="D184" s="3">
        <v>75362</v>
      </c>
      <c r="E184" s="1">
        <v>98</v>
      </c>
    </row>
    <row r="185" spans="1:5" ht="23.1" customHeight="1">
      <c r="A185" s="1" t="s">
        <v>53</v>
      </c>
      <c r="B185" s="1">
        <v>2019</v>
      </c>
      <c r="C185" s="1">
        <v>4</v>
      </c>
      <c r="D185" s="3">
        <v>41871</v>
      </c>
      <c r="E185" s="1">
        <v>51</v>
      </c>
    </row>
    <row r="186" spans="1:5" ht="23.1" customHeight="1">
      <c r="A186" s="1" t="s">
        <v>53</v>
      </c>
      <c r="B186" s="1">
        <v>2019</v>
      </c>
      <c r="C186" s="1">
        <v>5</v>
      </c>
      <c r="D186" s="3">
        <v>108315</v>
      </c>
      <c r="E186" s="1">
        <v>87</v>
      </c>
    </row>
    <row r="187" spans="1:5" ht="23.1" customHeight="1">
      <c r="A187" s="1" t="s">
        <v>53</v>
      </c>
      <c r="B187" s="1">
        <v>2019</v>
      </c>
      <c r="C187" s="1">
        <v>6</v>
      </c>
      <c r="D187" s="3">
        <v>75454</v>
      </c>
      <c r="E187" s="1">
        <v>62</v>
      </c>
    </row>
    <row r="188" spans="1:5" ht="23.1" customHeight="1">
      <c r="A188" s="1" t="s">
        <v>53</v>
      </c>
      <c r="B188" s="1">
        <v>2019</v>
      </c>
      <c r="C188" s="1">
        <v>7</v>
      </c>
      <c r="D188" s="3">
        <v>45124</v>
      </c>
      <c r="E188" s="1">
        <v>58</v>
      </c>
    </row>
    <row r="189" spans="1:5" ht="23.1" customHeight="1">
      <c r="A189" s="1" t="s">
        <v>53</v>
      </c>
      <c r="B189" s="1">
        <v>2019</v>
      </c>
      <c r="C189" s="1">
        <v>8</v>
      </c>
      <c r="D189" s="3">
        <v>66256</v>
      </c>
      <c r="E189" s="1">
        <v>82</v>
      </c>
    </row>
    <row r="190" spans="1:5" ht="23.1" customHeight="1">
      <c r="A190" s="1" t="s">
        <v>53</v>
      </c>
      <c r="B190" s="1">
        <v>2019</v>
      </c>
      <c r="C190" s="1">
        <v>9</v>
      </c>
      <c r="D190" s="3">
        <v>102453</v>
      </c>
      <c r="E190" s="1">
        <v>111</v>
      </c>
    </row>
    <row r="191" spans="1:5" ht="23.1" customHeight="1">
      <c r="A191" s="1" t="s">
        <v>53</v>
      </c>
      <c r="B191" s="1">
        <v>2019</v>
      </c>
      <c r="C191" s="1">
        <v>10</v>
      </c>
      <c r="D191" s="3">
        <v>166500</v>
      </c>
      <c r="E191" s="1">
        <v>148</v>
      </c>
    </row>
    <row r="192" spans="1:5" ht="23.1" customHeight="1">
      <c r="A192" s="1" t="s">
        <v>53</v>
      </c>
      <c r="B192" s="1">
        <v>2019</v>
      </c>
      <c r="C192" s="1">
        <v>11</v>
      </c>
      <c r="D192" s="3">
        <v>94284</v>
      </c>
      <c r="E192" s="1">
        <v>97</v>
      </c>
    </row>
    <row r="193" spans="1:5" ht="23.1" customHeight="1">
      <c r="A193" s="1" t="s">
        <v>53</v>
      </c>
      <c r="B193" s="1">
        <v>2019</v>
      </c>
      <c r="C193" s="1">
        <v>12</v>
      </c>
      <c r="D193" s="3">
        <v>109698</v>
      </c>
      <c r="E193" s="1">
        <v>141</v>
      </c>
    </row>
    <row r="194" spans="1:5" ht="23.1" customHeight="1">
      <c r="A194" s="1" t="s">
        <v>54</v>
      </c>
      <c r="B194" s="1">
        <v>2018</v>
      </c>
      <c r="C194" s="1">
        <v>1</v>
      </c>
      <c r="D194" s="3">
        <v>239568</v>
      </c>
      <c r="E194" s="1">
        <v>276</v>
      </c>
    </row>
    <row r="195" spans="1:5" ht="23.1" customHeight="1">
      <c r="A195" s="1" t="s">
        <v>54</v>
      </c>
      <c r="B195" s="1">
        <v>2018</v>
      </c>
      <c r="C195" s="1">
        <v>2</v>
      </c>
      <c r="D195" s="3">
        <v>302280</v>
      </c>
      <c r="E195" s="1">
        <v>229</v>
      </c>
    </row>
    <row r="196" spans="1:5" ht="23.1" customHeight="1">
      <c r="A196" s="1" t="s">
        <v>54</v>
      </c>
      <c r="B196" s="1">
        <v>2018</v>
      </c>
      <c r="C196" s="1">
        <v>3</v>
      </c>
      <c r="D196" s="3">
        <v>219659</v>
      </c>
      <c r="E196" s="1">
        <v>209</v>
      </c>
    </row>
    <row r="197" spans="1:5" ht="23.1" customHeight="1">
      <c r="A197" s="1" t="s">
        <v>54</v>
      </c>
      <c r="B197" s="1">
        <v>2018</v>
      </c>
      <c r="C197" s="1">
        <v>4</v>
      </c>
      <c r="D197" s="3">
        <v>257672</v>
      </c>
      <c r="E197" s="1">
        <v>248</v>
      </c>
    </row>
    <row r="198" spans="1:5" ht="23.1" customHeight="1">
      <c r="A198" s="1" t="s">
        <v>54</v>
      </c>
      <c r="B198" s="1">
        <v>2018</v>
      </c>
      <c r="C198" s="1">
        <v>5</v>
      </c>
      <c r="D198" s="3">
        <v>97356</v>
      </c>
      <c r="E198" s="1">
        <v>122</v>
      </c>
    </row>
    <row r="199" spans="1:5" ht="23.1" customHeight="1">
      <c r="A199" s="1" t="s">
        <v>54</v>
      </c>
      <c r="B199" s="1">
        <v>2018</v>
      </c>
      <c r="C199" s="1">
        <v>6</v>
      </c>
      <c r="D199" s="3">
        <v>143206</v>
      </c>
      <c r="E199" s="1">
        <v>193</v>
      </c>
    </row>
    <row r="200" spans="1:5" ht="23.1" customHeight="1">
      <c r="A200" s="1" t="s">
        <v>54</v>
      </c>
      <c r="B200" s="1">
        <v>2018</v>
      </c>
      <c r="C200" s="1">
        <v>7</v>
      </c>
      <c r="D200" s="3">
        <v>87349</v>
      </c>
      <c r="E200" s="1">
        <v>113</v>
      </c>
    </row>
    <row r="201" spans="1:5" ht="23.1" customHeight="1">
      <c r="A201" s="1" t="s">
        <v>54</v>
      </c>
      <c r="B201" s="1">
        <v>2018</v>
      </c>
      <c r="C201" s="1">
        <v>8</v>
      </c>
      <c r="D201" s="3">
        <v>197872</v>
      </c>
      <c r="E201" s="1">
        <v>166</v>
      </c>
    </row>
    <row r="202" spans="1:5" ht="23.1" customHeight="1">
      <c r="A202" s="1" t="s">
        <v>54</v>
      </c>
      <c r="B202" s="1">
        <v>2018</v>
      </c>
      <c r="C202" s="1">
        <v>9</v>
      </c>
      <c r="D202" s="3">
        <v>174384</v>
      </c>
      <c r="E202" s="1">
        <v>168</v>
      </c>
    </row>
    <row r="203" spans="1:5" ht="23.1" customHeight="1">
      <c r="A203" s="1" t="s">
        <v>54</v>
      </c>
      <c r="B203" s="1">
        <v>2018</v>
      </c>
      <c r="C203" s="1">
        <v>10</v>
      </c>
      <c r="D203" s="3">
        <v>215716</v>
      </c>
      <c r="E203" s="1">
        <v>271</v>
      </c>
    </row>
    <row r="204" spans="1:5" ht="23.1" customHeight="1">
      <c r="A204" s="1" t="s">
        <v>54</v>
      </c>
      <c r="B204" s="1">
        <v>2018</v>
      </c>
      <c r="C204" s="1">
        <v>11</v>
      </c>
      <c r="D204" s="3">
        <v>225030</v>
      </c>
      <c r="E204" s="1">
        <v>195</v>
      </c>
    </row>
    <row r="205" spans="1:5" ht="23.1" customHeight="1">
      <c r="A205" s="1" t="s">
        <v>54</v>
      </c>
      <c r="B205" s="1">
        <v>2018</v>
      </c>
      <c r="C205" s="1">
        <v>12</v>
      </c>
      <c r="D205" s="3">
        <v>206607</v>
      </c>
      <c r="E205" s="1">
        <v>183</v>
      </c>
    </row>
    <row r="206" spans="1:5" ht="23.1" customHeight="1">
      <c r="A206" s="1" t="s">
        <v>54</v>
      </c>
      <c r="B206" s="1">
        <v>2019</v>
      </c>
      <c r="C206" s="1">
        <v>1</v>
      </c>
      <c r="D206" s="3">
        <v>262412</v>
      </c>
      <c r="E206" s="1">
        <v>289</v>
      </c>
    </row>
    <row r="207" spans="1:5" ht="23.1" customHeight="1">
      <c r="A207" s="1" t="s">
        <v>54</v>
      </c>
      <c r="B207" s="1">
        <v>2019</v>
      </c>
      <c r="C207" s="1">
        <v>2</v>
      </c>
      <c r="D207" s="3">
        <v>154215</v>
      </c>
      <c r="E207" s="1">
        <v>115</v>
      </c>
    </row>
    <row r="208" spans="1:5" ht="23.1" customHeight="1">
      <c r="A208" s="1" t="s">
        <v>54</v>
      </c>
      <c r="B208" s="1">
        <v>2019</v>
      </c>
      <c r="C208" s="1">
        <v>3</v>
      </c>
      <c r="D208" s="3">
        <v>114030</v>
      </c>
      <c r="E208" s="1">
        <v>105</v>
      </c>
    </row>
    <row r="209" spans="1:5" ht="23.1" customHeight="1">
      <c r="A209" s="1" t="s">
        <v>54</v>
      </c>
      <c r="B209" s="1">
        <v>2019</v>
      </c>
      <c r="C209" s="1">
        <v>4</v>
      </c>
      <c r="D209" s="3">
        <v>131564</v>
      </c>
      <c r="E209" s="1">
        <v>124</v>
      </c>
    </row>
    <row r="210" spans="1:5" ht="23.1" customHeight="1">
      <c r="A210" s="1" t="s">
        <v>54</v>
      </c>
      <c r="B210" s="1">
        <v>2019</v>
      </c>
      <c r="C210" s="1">
        <v>5</v>
      </c>
      <c r="D210" s="3">
        <v>51118</v>
      </c>
      <c r="E210" s="1">
        <v>61</v>
      </c>
    </row>
    <row r="211" spans="1:5" ht="23.1" customHeight="1">
      <c r="A211" s="1" t="s">
        <v>54</v>
      </c>
      <c r="B211" s="1">
        <v>2019</v>
      </c>
      <c r="C211" s="1">
        <v>6</v>
      </c>
      <c r="D211" s="3">
        <v>73429</v>
      </c>
      <c r="E211" s="1">
        <v>97</v>
      </c>
    </row>
    <row r="212" spans="1:5" ht="23.1" customHeight="1">
      <c r="A212" s="1" t="s">
        <v>54</v>
      </c>
      <c r="B212" s="1">
        <v>2019</v>
      </c>
      <c r="C212" s="1">
        <v>7</v>
      </c>
      <c r="D212" s="3">
        <v>44346</v>
      </c>
      <c r="E212" s="1">
        <v>57</v>
      </c>
    </row>
    <row r="213" spans="1:5" ht="23.1" customHeight="1">
      <c r="A213" s="1" t="s">
        <v>54</v>
      </c>
      <c r="B213" s="1">
        <v>2019</v>
      </c>
      <c r="C213" s="1">
        <v>8</v>
      </c>
      <c r="D213" s="3">
        <v>102505</v>
      </c>
      <c r="E213" s="1">
        <v>83</v>
      </c>
    </row>
    <row r="214" spans="1:5" ht="23.1" customHeight="1">
      <c r="A214" s="1" t="s">
        <v>54</v>
      </c>
      <c r="B214" s="1">
        <v>2019</v>
      </c>
      <c r="C214" s="1">
        <v>9</v>
      </c>
      <c r="D214" s="3">
        <v>90216</v>
      </c>
      <c r="E214" s="1">
        <v>84</v>
      </c>
    </row>
    <row r="215" spans="1:5" ht="23.1" customHeight="1">
      <c r="A215" s="1" t="s">
        <v>54</v>
      </c>
      <c r="B215" s="1">
        <v>2019</v>
      </c>
      <c r="C215" s="1">
        <v>10</v>
      </c>
      <c r="D215" s="3">
        <v>111656</v>
      </c>
      <c r="E215" s="1">
        <v>136</v>
      </c>
    </row>
    <row r="216" spans="1:5" ht="23.1" customHeight="1">
      <c r="A216" s="1" t="s">
        <v>54</v>
      </c>
      <c r="B216" s="1">
        <v>2019</v>
      </c>
      <c r="C216" s="1">
        <v>11</v>
      </c>
      <c r="D216" s="3">
        <v>113386</v>
      </c>
      <c r="E216" s="1">
        <v>98</v>
      </c>
    </row>
    <row r="217" spans="1:5" ht="23.1" customHeight="1">
      <c r="A217" s="1" t="s">
        <v>54</v>
      </c>
      <c r="B217" s="1">
        <v>2019</v>
      </c>
      <c r="C217" s="1">
        <v>12</v>
      </c>
      <c r="D217" s="3">
        <v>106168</v>
      </c>
      <c r="E217" s="1">
        <v>92</v>
      </c>
    </row>
    <row r="218" spans="1:5" ht="23.1" customHeight="1">
      <c r="A218" s="1" t="s">
        <v>58</v>
      </c>
      <c r="B218" s="1">
        <v>2018</v>
      </c>
      <c r="C218" s="1">
        <v>1</v>
      </c>
      <c r="D218" s="3">
        <v>199500</v>
      </c>
      <c r="E218" s="1">
        <v>190</v>
      </c>
    </row>
    <row r="219" spans="1:5" ht="23.1" customHeight="1">
      <c r="A219" s="1" t="s">
        <v>58</v>
      </c>
      <c r="B219" s="1">
        <v>2018</v>
      </c>
      <c r="C219" s="1">
        <v>2</v>
      </c>
      <c r="D219" s="3">
        <v>115697</v>
      </c>
      <c r="E219" s="1">
        <v>127</v>
      </c>
    </row>
    <row r="220" spans="1:5" ht="23.1" customHeight="1">
      <c r="A220" s="1" t="s">
        <v>58</v>
      </c>
      <c r="B220" s="1">
        <v>2018</v>
      </c>
      <c r="C220" s="1">
        <v>3</v>
      </c>
      <c r="D220" s="3">
        <v>211680</v>
      </c>
      <c r="E220" s="1">
        <v>294</v>
      </c>
    </row>
    <row r="221" spans="1:5" ht="23.1" customHeight="1">
      <c r="A221" s="1" t="s">
        <v>58</v>
      </c>
      <c r="B221" s="1">
        <v>2018</v>
      </c>
      <c r="C221" s="1">
        <v>4</v>
      </c>
      <c r="D221" s="3">
        <v>244416</v>
      </c>
      <c r="E221" s="1">
        <v>268</v>
      </c>
    </row>
    <row r="222" spans="1:5" ht="23.1" customHeight="1">
      <c r="A222" s="1" t="s">
        <v>58</v>
      </c>
      <c r="B222" s="1">
        <v>2018</v>
      </c>
      <c r="C222" s="1">
        <v>5</v>
      </c>
      <c r="D222" s="3">
        <v>176746</v>
      </c>
      <c r="E222" s="1">
        <v>134</v>
      </c>
    </row>
    <row r="223" spans="1:5" ht="23.1" customHeight="1">
      <c r="A223" s="1" t="s">
        <v>58</v>
      </c>
      <c r="B223" s="1">
        <v>2018</v>
      </c>
      <c r="C223" s="1">
        <v>6</v>
      </c>
      <c r="D223" s="3">
        <v>396970</v>
      </c>
      <c r="E223" s="1">
        <v>265</v>
      </c>
    </row>
    <row r="224" spans="1:5" ht="23.1" customHeight="1">
      <c r="A224" s="1" t="s">
        <v>58</v>
      </c>
      <c r="B224" s="1">
        <v>2018</v>
      </c>
      <c r="C224" s="1">
        <v>7</v>
      </c>
      <c r="D224" s="3">
        <v>286219</v>
      </c>
      <c r="E224" s="1">
        <v>193</v>
      </c>
    </row>
    <row r="225" spans="1:5" ht="23.1" customHeight="1">
      <c r="A225" s="1" t="s">
        <v>58</v>
      </c>
      <c r="B225" s="1">
        <v>2018</v>
      </c>
      <c r="C225" s="1">
        <v>8</v>
      </c>
      <c r="D225" s="3">
        <v>343044</v>
      </c>
      <c r="E225" s="1">
        <v>234</v>
      </c>
    </row>
    <row r="226" spans="1:5" ht="23.1" customHeight="1">
      <c r="A226" s="1" t="s">
        <v>58</v>
      </c>
      <c r="B226" s="1">
        <v>2018</v>
      </c>
      <c r="C226" s="1">
        <v>9</v>
      </c>
      <c r="D226" s="3">
        <v>335443</v>
      </c>
      <c r="E226" s="1">
        <v>269</v>
      </c>
    </row>
    <row r="227" spans="1:5" ht="23.1" customHeight="1">
      <c r="A227" s="1" t="s">
        <v>58</v>
      </c>
      <c r="B227" s="1">
        <v>2018</v>
      </c>
      <c r="C227" s="1">
        <v>10</v>
      </c>
      <c r="D227" s="3">
        <v>155644</v>
      </c>
      <c r="E227" s="1">
        <v>167</v>
      </c>
    </row>
    <row r="228" spans="1:5" ht="23.1" customHeight="1">
      <c r="A228" s="1" t="s">
        <v>58</v>
      </c>
      <c r="B228" s="1">
        <v>2018</v>
      </c>
      <c r="C228" s="1">
        <v>11</v>
      </c>
      <c r="D228" s="3">
        <v>143558</v>
      </c>
      <c r="E228" s="1">
        <v>179</v>
      </c>
    </row>
    <row r="229" spans="1:5" ht="23.1" customHeight="1">
      <c r="A229" s="1" t="s">
        <v>58</v>
      </c>
      <c r="B229" s="1">
        <v>2018</v>
      </c>
      <c r="C229" s="1">
        <v>12</v>
      </c>
      <c r="D229" s="3">
        <v>252080</v>
      </c>
      <c r="E229" s="1">
        <v>274</v>
      </c>
    </row>
    <row r="230" spans="1:5" ht="23.1" customHeight="1">
      <c r="A230" s="1" t="s">
        <v>58</v>
      </c>
      <c r="B230" s="1">
        <v>2019</v>
      </c>
      <c r="C230" s="1">
        <v>1</v>
      </c>
      <c r="D230" s="3">
        <v>217008</v>
      </c>
      <c r="E230" s="1">
        <v>198</v>
      </c>
    </row>
    <row r="231" spans="1:5" ht="23.1" customHeight="1">
      <c r="A231" s="1" t="s">
        <v>58</v>
      </c>
      <c r="B231" s="1">
        <v>2019</v>
      </c>
      <c r="C231" s="1">
        <v>2</v>
      </c>
      <c r="D231" s="3">
        <v>58560</v>
      </c>
      <c r="E231" s="1">
        <v>64</v>
      </c>
    </row>
    <row r="232" spans="1:5" ht="23.1" customHeight="1">
      <c r="A232" s="1" t="s">
        <v>58</v>
      </c>
      <c r="B232" s="1">
        <v>2019</v>
      </c>
      <c r="C232" s="1">
        <v>3</v>
      </c>
      <c r="D232" s="3">
        <v>107457</v>
      </c>
      <c r="E232" s="1">
        <v>147</v>
      </c>
    </row>
    <row r="233" spans="1:5" ht="23.1" customHeight="1">
      <c r="A233" s="1" t="s">
        <v>58</v>
      </c>
      <c r="B233" s="1">
        <v>2019</v>
      </c>
      <c r="C233" s="1">
        <v>4</v>
      </c>
      <c r="D233" s="3">
        <v>124754</v>
      </c>
      <c r="E233" s="1">
        <v>134</v>
      </c>
    </row>
    <row r="234" spans="1:5" ht="23.1" customHeight="1">
      <c r="A234" s="1" t="s">
        <v>58</v>
      </c>
      <c r="B234" s="1">
        <v>2019</v>
      </c>
      <c r="C234" s="1">
        <v>5</v>
      </c>
      <c r="D234" s="3">
        <v>88574</v>
      </c>
      <c r="E234" s="1">
        <v>67</v>
      </c>
    </row>
    <row r="235" spans="1:5" ht="23.1" customHeight="1">
      <c r="A235" s="1" t="s">
        <v>58</v>
      </c>
      <c r="B235" s="1">
        <v>2019</v>
      </c>
      <c r="C235" s="1">
        <v>6</v>
      </c>
      <c r="D235" s="3">
        <v>200165</v>
      </c>
      <c r="E235" s="1">
        <v>133</v>
      </c>
    </row>
    <row r="236" spans="1:5" ht="23.1" customHeight="1">
      <c r="A236" s="1" t="s">
        <v>58</v>
      </c>
      <c r="B236" s="1">
        <v>2019</v>
      </c>
      <c r="C236" s="1">
        <v>7</v>
      </c>
      <c r="D236" s="3">
        <v>148604</v>
      </c>
      <c r="E236" s="1">
        <v>97</v>
      </c>
    </row>
    <row r="237" spans="1:5" ht="23.1" customHeight="1">
      <c r="A237" s="1" t="s">
        <v>58</v>
      </c>
      <c r="B237" s="1">
        <v>2019</v>
      </c>
      <c r="C237" s="1">
        <v>8</v>
      </c>
      <c r="D237" s="3">
        <v>175617</v>
      </c>
      <c r="E237" s="1">
        <v>117</v>
      </c>
    </row>
    <row r="238" spans="1:5" ht="23.1" customHeight="1">
      <c r="A238" s="1" t="s">
        <v>58</v>
      </c>
      <c r="B238" s="1">
        <v>2019</v>
      </c>
      <c r="C238" s="1">
        <v>9</v>
      </c>
      <c r="D238" s="3">
        <v>175095</v>
      </c>
      <c r="E238" s="1">
        <v>135</v>
      </c>
    </row>
    <row r="239" spans="1:5" ht="23.1" customHeight="1">
      <c r="A239" s="1" t="s">
        <v>58</v>
      </c>
      <c r="B239" s="1">
        <v>2019</v>
      </c>
      <c r="C239" s="1">
        <v>10</v>
      </c>
      <c r="D239" s="3">
        <v>79044</v>
      </c>
      <c r="E239" s="1">
        <v>84</v>
      </c>
    </row>
    <row r="240" spans="1:5" ht="23.1" customHeight="1">
      <c r="A240" s="1" t="s">
        <v>58</v>
      </c>
      <c r="B240" s="1">
        <v>2019</v>
      </c>
      <c r="C240" s="1">
        <v>11</v>
      </c>
      <c r="D240" s="3">
        <v>73080</v>
      </c>
      <c r="E240" s="1">
        <v>90</v>
      </c>
    </row>
    <row r="241" spans="1:5" ht="23.1" customHeight="1">
      <c r="A241" s="1" t="s">
        <v>58</v>
      </c>
      <c r="B241" s="1">
        <v>2019</v>
      </c>
      <c r="C241" s="1">
        <v>12</v>
      </c>
      <c r="D241" s="3">
        <v>129739</v>
      </c>
      <c r="E241" s="1">
        <v>137</v>
      </c>
    </row>
    <row r="242" spans="1:5" ht="23.1" customHeight="1">
      <c r="A242" s="1" t="s">
        <v>55</v>
      </c>
      <c r="B242" s="1">
        <v>2018</v>
      </c>
      <c r="C242" s="1">
        <v>1</v>
      </c>
      <c r="D242" s="3">
        <v>195305</v>
      </c>
      <c r="E242" s="1">
        <v>265</v>
      </c>
    </row>
    <row r="243" spans="1:5" ht="23.1" customHeight="1">
      <c r="A243" s="1" t="s">
        <v>55</v>
      </c>
      <c r="B243" s="1">
        <v>2018</v>
      </c>
      <c r="C243" s="1">
        <v>2</v>
      </c>
      <c r="D243" s="3">
        <v>223676</v>
      </c>
      <c r="E243" s="1">
        <v>281</v>
      </c>
    </row>
    <row r="244" spans="1:5" ht="23.1" customHeight="1">
      <c r="A244" s="1" t="s">
        <v>55</v>
      </c>
      <c r="B244" s="1">
        <v>2018</v>
      </c>
      <c r="C244" s="1">
        <v>3</v>
      </c>
      <c r="D244" s="3">
        <v>281770</v>
      </c>
      <c r="E244" s="1">
        <v>190</v>
      </c>
    </row>
    <row r="245" spans="1:5" ht="23.1" customHeight="1">
      <c r="A245" s="1" t="s">
        <v>55</v>
      </c>
      <c r="B245" s="1">
        <v>2018</v>
      </c>
      <c r="C245" s="1">
        <v>4</v>
      </c>
      <c r="D245" s="3">
        <v>247023</v>
      </c>
      <c r="E245" s="1">
        <v>189</v>
      </c>
    </row>
    <row r="246" spans="1:5" ht="23.1" customHeight="1">
      <c r="A246" s="1" t="s">
        <v>55</v>
      </c>
      <c r="B246" s="1">
        <v>2018</v>
      </c>
      <c r="C246" s="1">
        <v>5</v>
      </c>
      <c r="D246" s="3">
        <v>169376</v>
      </c>
      <c r="E246" s="1">
        <v>134</v>
      </c>
    </row>
    <row r="247" spans="1:5" ht="23.1" customHeight="1">
      <c r="A247" s="1" t="s">
        <v>55</v>
      </c>
      <c r="B247" s="1">
        <v>2018</v>
      </c>
      <c r="C247" s="1">
        <v>6</v>
      </c>
      <c r="D247" s="3">
        <v>354844</v>
      </c>
      <c r="E247" s="1">
        <v>266</v>
      </c>
    </row>
    <row r="248" spans="1:5" ht="23.1" customHeight="1">
      <c r="A248" s="1" t="s">
        <v>55</v>
      </c>
      <c r="B248" s="1">
        <v>2018</v>
      </c>
      <c r="C248" s="1">
        <v>7</v>
      </c>
      <c r="D248" s="3">
        <v>167750</v>
      </c>
      <c r="E248" s="1">
        <v>122</v>
      </c>
    </row>
    <row r="249" spans="1:5" ht="23.1" customHeight="1">
      <c r="A249" s="1" t="s">
        <v>55</v>
      </c>
      <c r="B249" s="1">
        <v>2018</v>
      </c>
      <c r="C249" s="1">
        <v>8</v>
      </c>
      <c r="D249" s="3">
        <v>235144</v>
      </c>
      <c r="E249" s="1">
        <v>238</v>
      </c>
    </row>
    <row r="250" spans="1:5" ht="23.1" customHeight="1">
      <c r="A250" s="1" t="s">
        <v>55</v>
      </c>
      <c r="B250" s="1">
        <v>2018</v>
      </c>
      <c r="C250" s="1">
        <v>9</v>
      </c>
      <c r="D250" s="3">
        <v>131269</v>
      </c>
      <c r="E250" s="1">
        <v>149</v>
      </c>
    </row>
    <row r="251" spans="1:5" ht="23.1" customHeight="1">
      <c r="A251" s="1" t="s">
        <v>55</v>
      </c>
      <c r="B251" s="1">
        <v>2018</v>
      </c>
      <c r="C251" s="1">
        <v>10</v>
      </c>
      <c r="D251" s="3">
        <v>107160</v>
      </c>
      <c r="E251" s="1">
        <v>120</v>
      </c>
    </row>
    <row r="252" spans="1:5" ht="23.1" customHeight="1">
      <c r="A252" s="1" t="s">
        <v>55</v>
      </c>
      <c r="B252" s="1">
        <v>2018</v>
      </c>
      <c r="C252" s="1">
        <v>11</v>
      </c>
      <c r="D252" s="3">
        <v>237558</v>
      </c>
      <c r="E252" s="1">
        <v>289</v>
      </c>
    </row>
    <row r="253" spans="1:5" ht="23.1" customHeight="1">
      <c r="A253" s="1" t="s">
        <v>55</v>
      </c>
      <c r="B253" s="1">
        <v>2018</v>
      </c>
      <c r="C253" s="1">
        <v>12</v>
      </c>
      <c r="D253" s="3">
        <v>203496</v>
      </c>
      <c r="E253" s="1">
        <v>244</v>
      </c>
    </row>
    <row r="254" spans="1:5" ht="23.1" customHeight="1">
      <c r="A254" s="1" t="s">
        <v>55</v>
      </c>
      <c r="B254" s="1">
        <v>2019</v>
      </c>
      <c r="C254" s="1">
        <v>1</v>
      </c>
      <c r="D254" s="3">
        <v>205632</v>
      </c>
      <c r="E254" s="1">
        <v>272</v>
      </c>
    </row>
    <row r="255" spans="1:5" ht="23.1" customHeight="1">
      <c r="A255" s="1" t="s">
        <v>55</v>
      </c>
      <c r="B255" s="1">
        <v>2019</v>
      </c>
      <c r="C255" s="1">
        <v>2</v>
      </c>
      <c r="D255" s="3">
        <v>112236</v>
      </c>
      <c r="E255" s="1">
        <v>141</v>
      </c>
    </row>
    <row r="256" spans="1:5" ht="23.1" customHeight="1">
      <c r="A256" s="1" t="s">
        <v>55</v>
      </c>
      <c r="B256" s="1">
        <v>2019</v>
      </c>
      <c r="C256" s="1">
        <v>3</v>
      </c>
      <c r="D256" s="3">
        <v>142405</v>
      </c>
      <c r="E256" s="1">
        <v>95</v>
      </c>
    </row>
    <row r="257" spans="1:5" ht="23.1" customHeight="1">
      <c r="A257" s="1" t="s">
        <v>55</v>
      </c>
      <c r="B257" s="1">
        <v>2019</v>
      </c>
      <c r="C257" s="1">
        <v>4</v>
      </c>
      <c r="D257" s="3">
        <v>127110</v>
      </c>
      <c r="E257" s="1">
        <v>95</v>
      </c>
    </row>
    <row r="258" spans="1:5" ht="23.1" customHeight="1">
      <c r="A258" s="1" t="s">
        <v>55</v>
      </c>
      <c r="B258" s="1">
        <v>2019</v>
      </c>
      <c r="C258" s="1">
        <v>5</v>
      </c>
      <c r="D258" s="3">
        <v>88775</v>
      </c>
      <c r="E258" s="1">
        <v>67</v>
      </c>
    </row>
    <row r="259" spans="1:5" ht="23.1" customHeight="1">
      <c r="A259" s="1" t="s">
        <v>55</v>
      </c>
      <c r="B259" s="1">
        <v>2019</v>
      </c>
      <c r="C259" s="1">
        <v>6</v>
      </c>
      <c r="D259" s="3">
        <v>181013</v>
      </c>
      <c r="E259" s="1">
        <v>133</v>
      </c>
    </row>
    <row r="260" spans="1:5" ht="23.1" customHeight="1">
      <c r="A260" s="1" t="s">
        <v>55</v>
      </c>
      <c r="B260" s="1">
        <v>2019</v>
      </c>
      <c r="C260" s="1">
        <v>7</v>
      </c>
      <c r="D260" s="3">
        <v>85949</v>
      </c>
      <c r="E260" s="1">
        <v>61</v>
      </c>
    </row>
    <row r="261" spans="1:5" ht="23.1" customHeight="1">
      <c r="A261" s="1" t="s">
        <v>55</v>
      </c>
      <c r="B261" s="1">
        <v>2019</v>
      </c>
      <c r="C261" s="1">
        <v>8</v>
      </c>
      <c r="D261" s="3">
        <v>122451</v>
      </c>
      <c r="E261" s="1">
        <v>119</v>
      </c>
    </row>
    <row r="262" spans="1:5" ht="23.1" customHeight="1">
      <c r="A262" s="1" t="s">
        <v>55</v>
      </c>
      <c r="B262" s="1">
        <v>2019</v>
      </c>
      <c r="C262" s="1">
        <v>9</v>
      </c>
      <c r="D262" s="3">
        <v>68400</v>
      </c>
      <c r="E262" s="1">
        <v>75</v>
      </c>
    </row>
    <row r="263" spans="1:5" ht="23.1" customHeight="1">
      <c r="A263" s="1" t="s">
        <v>55</v>
      </c>
      <c r="B263" s="1">
        <v>2019</v>
      </c>
      <c r="C263" s="1">
        <v>10</v>
      </c>
      <c r="D263" s="3">
        <v>53940</v>
      </c>
      <c r="E263" s="1">
        <v>60</v>
      </c>
    </row>
    <row r="264" spans="1:5" ht="23.1" customHeight="1">
      <c r="A264" s="1" t="s">
        <v>55</v>
      </c>
      <c r="B264" s="1">
        <v>2019</v>
      </c>
      <c r="C264" s="1">
        <v>11</v>
      </c>
      <c r="D264" s="3">
        <v>123540</v>
      </c>
      <c r="E264" s="1">
        <v>145</v>
      </c>
    </row>
    <row r="265" spans="1:5" ht="23.1" customHeight="1">
      <c r="A265" s="1" t="s">
        <v>55</v>
      </c>
      <c r="B265" s="1">
        <v>2019</v>
      </c>
      <c r="C265" s="1">
        <v>12</v>
      </c>
      <c r="D265" s="3">
        <v>102724</v>
      </c>
      <c r="E265" s="1">
        <v>122</v>
      </c>
    </row>
    <row r="266" spans="1:5" ht="23.1" customHeight="1">
      <c r="A266" s="1" t="s">
        <v>44</v>
      </c>
      <c r="B266" s="1">
        <v>2018</v>
      </c>
      <c r="C266" s="1">
        <v>1</v>
      </c>
      <c r="D266" s="3">
        <v>183668</v>
      </c>
      <c r="E266" s="1">
        <v>146</v>
      </c>
    </row>
    <row r="267" spans="1:5" ht="23.1" customHeight="1">
      <c r="A267" s="1" t="s">
        <v>44</v>
      </c>
      <c r="B267" s="1">
        <v>2018</v>
      </c>
      <c r="C267" s="1">
        <v>2</v>
      </c>
      <c r="D267" s="3">
        <v>366912</v>
      </c>
      <c r="E267" s="1">
        <v>294</v>
      </c>
    </row>
    <row r="268" spans="1:5" ht="23.1" customHeight="1">
      <c r="A268" s="1" t="s">
        <v>44</v>
      </c>
      <c r="B268" s="1">
        <v>2018</v>
      </c>
      <c r="C268" s="1">
        <v>3</v>
      </c>
      <c r="D268" s="3">
        <v>79689</v>
      </c>
      <c r="E268" s="1">
        <v>101</v>
      </c>
    </row>
    <row r="269" spans="1:5" ht="23.1" customHeight="1">
      <c r="A269" s="1" t="s">
        <v>44</v>
      </c>
      <c r="B269" s="1">
        <v>2018</v>
      </c>
      <c r="C269" s="1">
        <v>4</v>
      </c>
      <c r="D269" s="3">
        <v>284852</v>
      </c>
      <c r="E269" s="1">
        <v>284</v>
      </c>
    </row>
    <row r="270" spans="1:5" ht="23.1" customHeight="1">
      <c r="A270" s="1" t="s">
        <v>44</v>
      </c>
      <c r="B270" s="1">
        <v>2018</v>
      </c>
      <c r="C270" s="1">
        <v>5</v>
      </c>
      <c r="D270" s="3">
        <v>178695</v>
      </c>
      <c r="E270" s="1">
        <v>165</v>
      </c>
    </row>
    <row r="271" spans="1:5" ht="23.1" customHeight="1">
      <c r="A271" s="1" t="s">
        <v>44</v>
      </c>
      <c r="B271" s="1">
        <v>2018</v>
      </c>
      <c r="C271" s="1">
        <v>6</v>
      </c>
      <c r="D271" s="3">
        <v>250120</v>
      </c>
      <c r="E271" s="1">
        <v>185</v>
      </c>
    </row>
    <row r="272" spans="1:5" ht="23.1" customHeight="1">
      <c r="A272" s="1" t="s">
        <v>44</v>
      </c>
      <c r="B272" s="1">
        <v>2018</v>
      </c>
      <c r="C272" s="1">
        <v>7</v>
      </c>
      <c r="D272" s="3">
        <v>268804</v>
      </c>
      <c r="E272" s="1">
        <v>268</v>
      </c>
    </row>
    <row r="273" spans="1:5" ht="23.1" customHeight="1">
      <c r="A273" s="1" t="s">
        <v>44</v>
      </c>
      <c r="B273" s="1">
        <v>2018</v>
      </c>
      <c r="C273" s="1">
        <v>8</v>
      </c>
      <c r="D273" s="3">
        <v>219356</v>
      </c>
      <c r="E273" s="1">
        <v>244</v>
      </c>
    </row>
    <row r="274" spans="1:5" ht="23.1" customHeight="1">
      <c r="A274" s="1" t="s">
        <v>44</v>
      </c>
      <c r="B274" s="1">
        <v>2018</v>
      </c>
      <c r="C274" s="1">
        <v>9</v>
      </c>
      <c r="D274" s="3">
        <v>308826</v>
      </c>
      <c r="E274" s="1">
        <v>258</v>
      </c>
    </row>
    <row r="275" spans="1:5" ht="23.1" customHeight="1">
      <c r="A275" s="1" t="s">
        <v>44</v>
      </c>
      <c r="B275" s="1">
        <v>2018</v>
      </c>
      <c r="C275" s="1">
        <v>10</v>
      </c>
      <c r="D275" s="3">
        <v>387528</v>
      </c>
      <c r="E275" s="1">
        <v>268</v>
      </c>
    </row>
    <row r="276" spans="1:5" ht="23.1" customHeight="1">
      <c r="A276" s="1" t="s">
        <v>44</v>
      </c>
      <c r="B276" s="1">
        <v>2018</v>
      </c>
      <c r="C276" s="1">
        <v>11</v>
      </c>
      <c r="D276" s="3">
        <v>104895</v>
      </c>
      <c r="E276" s="1">
        <v>105</v>
      </c>
    </row>
    <row r="277" spans="1:5" ht="23.1" customHeight="1">
      <c r="A277" s="1" t="s">
        <v>44</v>
      </c>
      <c r="B277" s="1">
        <v>2018</v>
      </c>
      <c r="C277" s="1">
        <v>12</v>
      </c>
      <c r="D277" s="3">
        <v>125710</v>
      </c>
      <c r="E277" s="1">
        <v>130</v>
      </c>
    </row>
    <row r="278" spans="1:5" ht="23.1" customHeight="1">
      <c r="A278" s="1" t="s">
        <v>44</v>
      </c>
      <c r="B278" s="1">
        <v>2019</v>
      </c>
      <c r="C278" s="1">
        <v>1</v>
      </c>
      <c r="D278" s="3">
        <v>200336</v>
      </c>
      <c r="E278" s="1">
        <v>152</v>
      </c>
    </row>
    <row r="279" spans="1:5" ht="23.1" customHeight="1">
      <c r="A279" s="1" t="s">
        <v>44</v>
      </c>
      <c r="B279" s="1">
        <v>2019</v>
      </c>
      <c r="C279" s="1">
        <v>2</v>
      </c>
      <c r="D279" s="3">
        <v>384748</v>
      </c>
      <c r="E279" s="1">
        <v>302</v>
      </c>
    </row>
    <row r="280" spans="1:5" ht="23.1" customHeight="1">
      <c r="A280" s="1" t="s">
        <v>44</v>
      </c>
      <c r="B280" s="1">
        <v>2019</v>
      </c>
      <c r="C280" s="1">
        <v>3</v>
      </c>
      <c r="D280" s="3">
        <v>83842</v>
      </c>
      <c r="E280" s="1">
        <v>103</v>
      </c>
    </row>
    <row r="281" spans="1:5" ht="23.1" customHeight="1">
      <c r="A281" s="1" t="s">
        <v>44</v>
      </c>
      <c r="B281" s="1">
        <v>2019</v>
      </c>
      <c r="C281" s="1">
        <v>4</v>
      </c>
      <c r="D281" s="3">
        <v>289728</v>
      </c>
      <c r="E281" s="1">
        <v>288</v>
      </c>
    </row>
    <row r="282" spans="1:5" ht="23.1" customHeight="1">
      <c r="A282" s="1" t="s">
        <v>44</v>
      </c>
      <c r="B282" s="1">
        <v>2019</v>
      </c>
      <c r="C282" s="1">
        <v>5</v>
      </c>
      <c r="D282" s="3">
        <v>190060</v>
      </c>
      <c r="E282" s="1">
        <v>172</v>
      </c>
    </row>
    <row r="283" spans="1:5" ht="23.1" customHeight="1">
      <c r="A283" s="1" t="s">
        <v>44</v>
      </c>
      <c r="B283" s="1">
        <v>2019</v>
      </c>
      <c r="C283" s="1">
        <v>6</v>
      </c>
      <c r="D283" s="3">
        <v>263562</v>
      </c>
      <c r="E283" s="1">
        <v>186</v>
      </c>
    </row>
    <row r="284" spans="1:5" ht="23.1" customHeight="1">
      <c r="A284" s="1" t="s">
        <v>44</v>
      </c>
      <c r="B284" s="1">
        <v>2019</v>
      </c>
      <c r="C284" s="1">
        <v>7</v>
      </c>
      <c r="D284" s="3">
        <v>282900</v>
      </c>
      <c r="E284" s="1">
        <v>276</v>
      </c>
    </row>
    <row r="285" spans="1:5" ht="23.1" customHeight="1">
      <c r="A285" s="1" t="s">
        <v>44</v>
      </c>
      <c r="B285" s="1">
        <v>2019</v>
      </c>
      <c r="C285" s="1">
        <v>8</v>
      </c>
      <c r="D285" s="3">
        <v>239700</v>
      </c>
      <c r="E285" s="1">
        <v>255</v>
      </c>
    </row>
    <row r="286" spans="1:5" ht="23.1" customHeight="1">
      <c r="A286" s="1" t="s">
        <v>44</v>
      </c>
      <c r="B286" s="1">
        <v>2019</v>
      </c>
      <c r="C286" s="1">
        <v>9</v>
      </c>
      <c r="D286" s="3">
        <v>325350</v>
      </c>
      <c r="E286" s="1">
        <v>270</v>
      </c>
    </row>
    <row r="287" spans="1:5" ht="23.1" customHeight="1">
      <c r="A287" s="1" t="s">
        <v>44</v>
      </c>
      <c r="B287" s="1">
        <v>2019</v>
      </c>
      <c r="C287" s="1">
        <v>10</v>
      </c>
      <c r="D287" s="3">
        <v>410200</v>
      </c>
      <c r="E287" s="1">
        <v>280</v>
      </c>
    </row>
    <row r="288" spans="1:5" ht="23.1" customHeight="1">
      <c r="A288" s="1" t="s">
        <v>44</v>
      </c>
      <c r="B288" s="1">
        <v>2019</v>
      </c>
      <c r="C288" s="1">
        <v>11</v>
      </c>
      <c r="D288" s="3">
        <v>107484</v>
      </c>
      <c r="E288" s="1">
        <v>106</v>
      </c>
    </row>
    <row r="289" spans="1:5" ht="23.1" customHeight="1">
      <c r="A289" s="1" t="s">
        <v>44</v>
      </c>
      <c r="B289" s="1">
        <v>2019</v>
      </c>
      <c r="C289" s="1">
        <v>12</v>
      </c>
      <c r="D289" s="3">
        <v>130944</v>
      </c>
      <c r="E289" s="1">
        <v>132</v>
      </c>
    </row>
    <row r="290" spans="1:5" ht="23.1" customHeight="1">
      <c r="A290" s="1" t="s">
        <v>56</v>
      </c>
      <c r="B290" s="1">
        <v>2018</v>
      </c>
      <c r="C290" s="1">
        <v>1</v>
      </c>
      <c r="D290" s="3">
        <v>151734</v>
      </c>
      <c r="E290" s="1">
        <v>114</v>
      </c>
    </row>
    <row r="291" spans="1:5" ht="23.1" customHeight="1">
      <c r="A291" s="1" t="s">
        <v>56</v>
      </c>
      <c r="B291" s="1">
        <v>2018</v>
      </c>
      <c r="C291" s="1">
        <v>2</v>
      </c>
      <c r="D291" s="3">
        <v>128520</v>
      </c>
      <c r="E291" s="1">
        <v>136</v>
      </c>
    </row>
    <row r="292" spans="1:5" ht="23.1" customHeight="1">
      <c r="A292" s="1" t="s">
        <v>56</v>
      </c>
      <c r="B292" s="1">
        <v>2018</v>
      </c>
      <c r="C292" s="1">
        <v>3</v>
      </c>
      <c r="D292" s="3">
        <v>109344</v>
      </c>
      <c r="E292" s="1">
        <v>102</v>
      </c>
    </row>
    <row r="293" spans="1:5" ht="23.1" customHeight="1">
      <c r="A293" s="1" t="s">
        <v>56</v>
      </c>
      <c r="B293" s="1">
        <v>2018</v>
      </c>
      <c r="C293" s="1">
        <v>4</v>
      </c>
      <c r="D293" s="3">
        <v>242928</v>
      </c>
      <c r="E293" s="1">
        <v>252</v>
      </c>
    </row>
    <row r="294" spans="1:5" ht="23.1" customHeight="1">
      <c r="A294" s="1" t="s">
        <v>56</v>
      </c>
      <c r="B294" s="1">
        <v>2018</v>
      </c>
      <c r="C294" s="1">
        <v>5</v>
      </c>
      <c r="D294" s="3">
        <v>376148</v>
      </c>
      <c r="E294" s="1">
        <v>271</v>
      </c>
    </row>
    <row r="295" spans="1:5" ht="23.1" customHeight="1">
      <c r="A295" s="1" t="s">
        <v>56</v>
      </c>
      <c r="B295" s="1">
        <v>2018</v>
      </c>
      <c r="C295" s="1">
        <v>6</v>
      </c>
      <c r="D295" s="3">
        <v>227832</v>
      </c>
      <c r="E295" s="1">
        <v>264</v>
      </c>
    </row>
    <row r="296" spans="1:5" ht="23.1" customHeight="1">
      <c r="A296" s="1" t="s">
        <v>56</v>
      </c>
      <c r="B296" s="1">
        <v>2018</v>
      </c>
      <c r="C296" s="1">
        <v>7</v>
      </c>
      <c r="D296" s="3">
        <v>278200</v>
      </c>
      <c r="E296" s="1">
        <v>214</v>
      </c>
    </row>
    <row r="297" spans="1:5" ht="23.1" customHeight="1">
      <c r="A297" s="1" t="s">
        <v>56</v>
      </c>
      <c r="B297" s="1">
        <v>2018</v>
      </c>
      <c r="C297" s="1">
        <v>8</v>
      </c>
      <c r="D297" s="3">
        <v>260598</v>
      </c>
      <c r="E297" s="1">
        <v>257</v>
      </c>
    </row>
    <row r="298" spans="1:5" ht="23.1" customHeight="1">
      <c r="A298" s="1" t="s">
        <v>56</v>
      </c>
      <c r="B298" s="1">
        <v>2018</v>
      </c>
      <c r="C298" s="1">
        <v>9</v>
      </c>
      <c r="D298" s="3">
        <v>213380</v>
      </c>
      <c r="E298" s="1">
        <v>235</v>
      </c>
    </row>
    <row r="299" spans="1:5" ht="23.1" customHeight="1">
      <c r="A299" s="1" t="s">
        <v>56</v>
      </c>
      <c r="B299" s="1">
        <v>2018</v>
      </c>
      <c r="C299" s="1">
        <v>10</v>
      </c>
      <c r="D299" s="3">
        <v>169743</v>
      </c>
      <c r="E299" s="1">
        <v>177</v>
      </c>
    </row>
    <row r="300" spans="1:5" ht="23.1" customHeight="1">
      <c r="A300" s="1" t="s">
        <v>56</v>
      </c>
      <c r="B300" s="1">
        <v>2018</v>
      </c>
      <c r="C300" s="1">
        <v>11</v>
      </c>
      <c r="D300" s="3">
        <v>150345</v>
      </c>
      <c r="E300" s="1">
        <v>117</v>
      </c>
    </row>
    <row r="301" spans="1:5" ht="23.1" customHeight="1">
      <c r="A301" s="1" t="s">
        <v>56</v>
      </c>
      <c r="B301" s="1">
        <v>2018</v>
      </c>
      <c r="C301" s="1">
        <v>12</v>
      </c>
      <c r="D301" s="3">
        <v>222813</v>
      </c>
      <c r="E301" s="1">
        <v>171</v>
      </c>
    </row>
    <row r="302" spans="1:5" ht="23.1" customHeight="1">
      <c r="A302" s="1" t="s">
        <v>56</v>
      </c>
      <c r="B302" s="1">
        <v>2019</v>
      </c>
      <c r="C302" s="1">
        <v>1</v>
      </c>
      <c r="D302" s="3">
        <v>152190</v>
      </c>
      <c r="E302" s="1">
        <v>114</v>
      </c>
    </row>
    <row r="303" spans="1:5" ht="23.1" customHeight="1">
      <c r="A303" s="1" t="s">
        <v>56</v>
      </c>
      <c r="B303" s="1">
        <v>2019</v>
      </c>
      <c r="C303" s="1">
        <v>2</v>
      </c>
      <c r="D303" s="3">
        <v>64600</v>
      </c>
      <c r="E303" s="1">
        <v>68</v>
      </c>
    </row>
    <row r="304" spans="1:5" ht="23.1" customHeight="1">
      <c r="A304" s="1" t="s">
        <v>56</v>
      </c>
      <c r="B304" s="1">
        <v>2019</v>
      </c>
      <c r="C304" s="1">
        <v>3</v>
      </c>
      <c r="D304" s="3">
        <v>55488</v>
      </c>
      <c r="E304" s="1">
        <v>51</v>
      </c>
    </row>
    <row r="305" spans="1:5" ht="23.1" customHeight="1">
      <c r="A305" s="1" t="s">
        <v>56</v>
      </c>
      <c r="B305" s="1">
        <v>2019</v>
      </c>
      <c r="C305" s="1">
        <v>4</v>
      </c>
      <c r="D305" s="3">
        <v>126126</v>
      </c>
      <c r="E305" s="1">
        <v>126</v>
      </c>
    </row>
    <row r="306" spans="1:5" ht="23.1" customHeight="1">
      <c r="A306" s="1" t="s">
        <v>56</v>
      </c>
      <c r="B306" s="1">
        <v>2019</v>
      </c>
      <c r="C306" s="1">
        <v>5</v>
      </c>
      <c r="D306" s="3">
        <v>192304</v>
      </c>
      <c r="E306" s="1">
        <v>136</v>
      </c>
    </row>
    <row r="307" spans="1:5" ht="23.1" customHeight="1">
      <c r="A307" s="1" t="s">
        <v>56</v>
      </c>
      <c r="B307" s="1">
        <v>2019</v>
      </c>
      <c r="C307" s="1">
        <v>6</v>
      </c>
      <c r="D307" s="3">
        <v>115236</v>
      </c>
      <c r="E307" s="1">
        <v>132</v>
      </c>
    </row>
    <row r="308" spans="1:5" ht="23.1" customHeight="1">
      <c r="A308" s="1" t="s">
        <v>56</v>
      </c>
      <c r="B308" s="1">
        <v>2019</v>
      </c>
      <c r="C308" s="1">
        <v>7</v>
      </c>
      <c r="D308" s="3">
        <v>142203</v>
      </c>
      <c r="E308" s="1">
        <v>107</v>
      </c>
    </row>
    <row r="309" spans="1:5" ht="23.1" customHeight="1">
      <c r="A309" s="1" t="s">
        <v>56</v>
      </c>
      <c r="B309" s="1">
        <v>2019</v>
      </c>
      <c r="C309" s="1">
        <v>8</v>
      </c>
      <c r="D309" s="3">
        <v>132612</v>
      </c>
      <c r="E309" s="1">
        <v>129</v>
      </c>
    </row>
    <row r="310" spans="1:5" ht="23.1" customHeight="1">
      <c r="A310" s="1" t="s">
        <v>56</v>
      </c>
      <c r="B310" s="1">
        <v>2019</v>
      </c>
      <c r="C310" s="1">
        <v>9</v>
      </c>
      <c r="D310" s="3">
        <v>107262</v>
      </c>
      <c r="E310" s="1">
        <v>118</v>
      </c>
    </row>
    <row r="311" spans="1:5" ht="23.1" customHeight="1">
      <c r="A311" s="1" t="s">
        <v>56</v>
      </c>
      <c r="B311" s="1">
        <v>2019</v>
      </c>
      <c r="C311" s="1">
        <v>10</v>
      </c>
      <c r="D311" s="3">
        <v>88733</v>
      </c>
      <c r="E311" s="1">
        <v>89</v>
      </c>
    </row>
    <row r="312" spans="1:5" ht="23.1" customHeight="1">
      <c r="A312" s="1" t="s">
        <v>56</v>
      </c>
      <c r="B312" s="1">
        <v>2019</v>
      </c>
      <c r="C312" s="1">
        <v>11</v>
      </c>
      <c r="D312" s="3">
        <v>79060</v>
      </c>
      <c r="E312" s="1">
        <v>59</v>
      </c>
    </row>
    <row r="313" spans="1:5" ht="23.1" customHeight="1">
      <c r="A313" s="1" t="s">
        <v>56</v>
      </c>
      <c r="B313" s="1">
        <v>2019</v>
      </c>
      <c r="C313" s="1">
        <v>12</v>
      </c>
      <c r="D313" s="3">
        <v>112058</v>
      </c>
      <c r="E313" s="1">
        <v>86</v>
      </c>
    </row>
    <row r="314" spans="1:5" ht="23.1" customHeight="1">
      <c r="A314" s="1" t="s">
        <v>37</v>
      </c>
      <c r="B314" s="1">
        <v>2018</v>
      </c>
      <c r="C314" s="1">
        <v>1</v>
      </c>
      <c r="D314" s="3">
        <v>130275</v>
      </c>
      <c r="E314" s="1">
        <v>135</v>
      </c>
    </row>
    <row r="315" spans="1:5" ht="23.1" customHeight="1">
      <c r="A315" s="1" t="s">
        <v>37</v>
      </c>
      <c r="B315" s="1">
        <v>2018</v>
      </c>
      <c r="C315" s="1">
        <v>2</v>
      </c>
      <c r="D315" s="3">
        <v>214071</v>
      </c>
      <c r="E315" s="1">
        <v>143</v>
      </c>
    </row>
    <row r="316" spans="1:5" ht="23.1" customHeight="1">
      <c r="A316" s="1" t="s">
        <v>37</v>
      </c>
      <c r="B316" s="1">
        <v>2018</v>
      </c>
      <c r="C316" s="1">
        <v>3</v>
      </c>
      <c r="D316" s="3">
        <v>144200</v>
      </c>
      <c r="E316" s="1">
        <v>200</v>
      </c>
    </row>
    <row r="317" spans="1:5" ht="23.1" customHeight="1">
      <c r="A317" s="1" t="s">
        <v>37</v>
      </c>
      <c r="B317" s="1">
        <v>2018</v>
      </c>
      <c r="C317" s="1">
        <v>4</v>
      </c>
      <c r="D317" s="3">
        <v>180144</v>
      </c>
      <c r="E317" s="1">
        <v>144</v>
      </c>
    </row>
    <row r="318" spans="1:5" ht="23.1" customHeight="1">
      <c r="A318" s="1" t="s">
        <v>37</v>
      </c>
      <c r="B318" s="1">
        <v>2018</v>
      </c>
      <c r="C318" s="1">
        <v>5</v>
      </c>
      <c r="D318" s="3">
        <v>190624</v>
      </c>
      <c r="E318" s="1">
        <v>184</v>
      </c>
    </row>
    <row r="319" spans="1:5" ht="23.1" customHeight="1">
      <c r="A319" s="1" t="s">
        <v>37</v>
      </c>
      <c r="B319" s="1">
        <v>2018</v>
      </c>
      <c r="C319" s="1">
        <v>6</v>
      </c>
      <c r="D319" s="3">
        <v>136782</v>
      </c>
      <c r="E319" s="1">
        <v>149</v>
      </c>
    </row>
    <row r="320" spans="1:5" ht="23.1" customHeight="1">
      <c r="A320" s="1" t="s">
        <v>37</v>
      </c>
      <c r="B320" s="1">
        <v>2018</v>
      </c>
      <c r="C320" s="1">
        <v>7</v>
      </c>
      <c r="D320" s="3">
        <v>291486</v>
      </c>
      <c r="E320" s="1">
        <v>202</v>
      </c>
    </row>
    <row r="321" spans="1:5" ht="23.1" customHeight="1">
      <c r="A321" s="1" t="s">
        <v>37</v>
      </c>
      <c r="B321" s="1">
        <v>2018</v>
      </c>
      <c r="C321" s="1">
        <v>8</v>
      </c>
      <c r="D321" s="3">
        <v>347724</v>
      </c>
      <c r="E321" s="1">
        <v>234</v>
      </c>
    </row>
    <row r="322" spans="1:5" ht="23.1" customHeight="1">
      <c r="A322" s="1" t="s">
        <v>37</v>
      </c>
      <c r="B322" s="1">
        <v>2018</v>
      </c>
      <c r="C322" s="1">
        <v>9</v>
      </c>
      <c r="D322" s="3">
        <v>361192</v>
      </c>
      <c r="E322" s="1">
        <v>299</v>
      </c>
    </row>
    <row r="323" spans="1:5" ht="23.1" customHeight="1">
      <c r="A323" s="1" t="s">
        <v>37</v>
      </c>
      <c r="B323" s="1">
        <v>2018</v>
      </c>
      <c r="C323" s="1">
        <v>10</v>
      </c>
      <c r="D323" s="3">
        <v>396495</v>
      </c>
      <c r="E323" s="1">
        <v>297</v>
      </c>
    </row>
    <row r="324" spans="1:5" ht="23.1" customHeight="1">
      <c r="A324" s="1" t="s">
        <v>37</v>
      </c>
      <c r="B324" s="1">
        <v>2018</v>
      </c>
      <c r="C324" s="1">
        <v>11</v>
      </c>
      <c r="D324" s="3">
        <v>406870</v>
      </c>
      <c r="E324" s="1">
        <v>290</v>
      </c>
    </row>
    <row r="325" spans="1:5" ht="23.1" customHeight="1">
      <c r="A325" s="1" t="s">
        <v>37</v>
      </c>
      <c r="B325" s="1">
        <v>2018</v>
      </c>
      <c r="C325" s="1">
        <v>12</v>
      </c>
      <c r="D325" s="3">
        <v>213330</v>
      </c>
      <c r="E325" s="1">
        <v>195</v>
      </c>
    </row>
    <row r="326" spans="1:5" ht="23.1" customHeight="1">
      <c r="A326" s="1" t="s">
        <v>37</v>
      </c>
      <c r="B326" s="1">
        <v>2019</v>
      </c>
      <c r="C326" s="1">
        <v>1</v>
      </c>
      <c r="D326" s="3">
        <v>134123</v>
      </c>
      <c r="E326" s="1">
        <v>137</v>
      </c>
    </row>
    <row r="327" spans="1:5" ht="23.1" customHeight="1">
      <c r="A327" s="1" t="s">
        <v>37</v>
      </c>
      <c r="B327" s="1">
        <v>2019</v>
      </c>
      <c r="C327" s="1">
        <v>2</v>
      </c>
      <c r="D327" s="3">
        <v>222888</v>
      </c>
      <c r="E327" s="1">
        <v>148</v>
      </c>
    </row>
    <row r="328" spans="1:5" ht="23.1" customHeight="1">
      <c r="A328" s="1" t="s">
        <v>37</v>
      </c>
      <c r="B328" s="1">
        <v>2019</v>
      </c>
      <c r="C328" s="1">
        <v>3</v>
      </c>
      <c r="D328" s="3">
        <v>156208</v>
      </c>
      <c r="E328" s="1">
        <v>208</v>
      </c>
    </row>
    <row r="329" spans="1:5" ht="23.1" customHeight="1">
      <c r="A329" s="1" t="s">
        <v>37</v>
      </c>
      <c r="B329" s="1">
        <v>2019</v>
      </c>
      <c r="C329" s="1">
        <v>4</v>
      </c>
      <c r="D329" s="3">
        <v>186734</v>
      </c>
      <c r="E329" s="1">
        <v>146</v>
      </c>
    </row>
    <row r="330" spans="1:5" ht="23.1" customHeight="1">
      <c r="A330" s="1" t="s">
        <v>37</v>
      </c>
      <c r="B330" s="1">
        <v>2019</v>
      </c>
      <c r="C330" s="1">
        <v>5</v>
      </c>
      <c r="D330" s="3">
        <v>203300</v>
      </c>
      <c r="E330" s="1">
        <v>190</v>
      </c>
    </row>
    <row r="331" spans="1:5" ht="23.1" customHeight="1">
      <c r="A331" s="1" t="s">
        <v>37</v>
      </c>
      <c r="B331" s="1">
        <v>2019</v>
      </c>
      <c r="C331" s="1">
        <v>6</v>
      </c>
      <c r="D331" s="3">
        <v>142272</v>
      </c>
      <c r="E331" s="1">
        <v>152</v>
      </c>
    </row>
    <row r="332" spans="1:5" ht="23.1" customHeight="1">
      <c r="A332" s="1" t="s">
        <v>37</v>
      </c>
      <c r="B332" s="1">
        <v>2019</v>
      </c>
      <c r="C332" s="1">
        <v>7</v>
      </c>
      <c r="D332" s="3">
        <v>304980</v>
      </c>
      <c r="E332" s="1">
        <v>204</v>
      </c>
    </row>
    <row r="333" spans="1:5" ht="23.1" customHeight="1">
      <c r="A333" s="1" t="s">
        <v>37</v>
      </c>
      <c r="B333" s="1">
        <v>2019</v>
      </c>
      <c r="C333" s="1">
        <v>8</v>
      </c>
      <c r="D333" s="3">
        <v>371280</v>
      </c>
      <c r="E333" s="1">
        <v>238</v>
      </c>
    </row>
    <row r="334" spans="1:5" ht="23.1" customHeight="1">
      <c r="A334" s="1" t="s">
        <v>37</v>
      </c>
      <c r="B334" s="1">
        <v>2019</v>
      </c>
      <c r="C334" s="1">
        <v>9</v>
      </c>
      <c r="D334" s="3">
        <v>385000</v>
      </c>
      <c r="E334" s="1">
        <v>308</v>
      </c>
    </row>
    <row r="335" spans="1:5" ht="23.1" customHeight="1">
      <c r="A335" s="1" t="s">
        <v>37</v>
      </c>
      <c r="B335" s="1">
        <v>2019</v>
      </c>
      <c r="C335" s="1">
        <v>10</v>
      </c>
      <c r="D335" s="3">
        <v>410228</v>
      </c>
      <c r="E335" s="1">
        <v>299</v>
      </c>
    </row>
    <row r="336" spans="1:5" ht="23.1" customHeight="1">
      <c r="A336" s="1" t="s">
        <v>37</v>
      </c>
      <c r="B336" s="1">
        <v>2019</v>
      </c>
      <c r="C336" s="1">
        <v>11</v>
      </c>
      <c r="D336" s="3">
        <v>434824</v>
      </c>
      <c r="E336" s="1">
        <v>296</v>
      </c>
    </row>
    <row r="337" spans="1:5" ht="23.1" customHeight="1">
      <c r="A337" s="1" t="s">
        <v>37</v>
      </c>
      <c r="B337" s="1">
        <v>2019</v>
      </c>
      <c r="C337" s="1">
        <v>12</v>
      </c>
      <c r="D337" s="3">
        <v>226527</v>
      </c>
      <c r="E337" s="1">
        <v>201</v>
      </c>
    </row>
    <row r="338" spans="1:5" ht="23.1" customHeight="1">
      <c r="A338" s="1" t="s">
        <v>40</v>
      </c>
      <c r="B338" s="1">
        <v>2018</v>
      </c>
      <c r="C338" s="1">
        <v>1</v>
      </c>
      <c r="D338" s="3">
        <v>267000</v>
      </c>
      <c r="E338" s="1">
        <v>200</v>
      </c>
    </row>
    <row r="339" spans="1:5" ht="23.1" customHeight="1">
      <c r="A339" s="1" t="s">
        <v>40</v>
      </c>
      <c r="B339" s="1">
        <v>2018</v>
      </c>
      <c r="C339" s="1">
        <v>2</v>
      </c>
      <c r="D339" s="3">
        <v>326452</v>
      </c>
      <c r="E339" s="1">
        <v>262</v>
      </c>
    </row>
    <row r="340" spans="1:5" ht="23.1" customHeight="1">
      <c r="A340" s="1" t="s">
        <v>40</v>
      </c>
      <c r="B340" s="1">
        <v>2018</v>
      </c>
      <c r="C340" s="1">
        <v>3</v>
      </c>
      <c r="D340" s="3">
        <v>221427</v>
      </c>
      <c r="E340" s="1">
        <v>177</v>
      </c>
    </row>
    <row r="341" spans="1:5" ht="23.1" customHeight="1">
      <c r="A341" s="1" t="s">
        <v>40</v>
      </c>
      <c r="B341" s="1">
        <v>2018</v>
      </c>
      <c r="C341" s="1">
        <v>4</v>
      </c>
      <c r="D341" s="3">
        <v>162070</v>
      </c>
      <c r="E341" s="1">
        <v>190</v>
      </c>
    </row>
    <row r="342" spans="1:5" ht="23.1" customHeight="1">
      <c r="A342" s="1" t="s">
        <v>40</v>
      </c>
      <c r="B342" s="1">
        <v>2018</v>
      </c>
      <c r="C342" s="1">
        <v>5</v>
      </c>
      <c r="D342" s="3">
        <v>333232</v>
      </c>
      <c r="E342" s="1">
        <v>236</v>
      </c>
    </row>
    <row r="343" spans="1:5" ht="23.1" customHeight="1">
      <c r="A343" s="1" t="s">
        <v>40</v>
      </c>
      <c r="B343" s="1">
        <v>2018</v>
      </c>
      <c r="C343" s="1">
        <v>6</v>
      </c>
      <c r="D343" s="3">
        <v>326368</v>
      </c>
      <c r="E343" s="1">
        <v>248</v>
      </c>
    </row>
    <row r="344" spans="1:5" ht="23.1" customHeight="1">
      <c r="A344" s="1" t="s">
        <v>40</v>
      </c>
      <c r="B344" s="1">
        <v>2018</v>
      </c>
      <c r="C344" s="1">
        <v>7</v>
      </c>
      <c r="D344" s="3">
        <v>237385</v>
      </c>
      <c r="E344" s="1">
        <v>197</v>
      </c>
    </row>
    <row r="345" spans="1:5" ht="23.1" customHeight="1">
      <c r="A345" s="1" t="s">
        <v>40</v>
      </c>
      <c r="B345" s="1">
        <v>2018</v>
      </c>
      <c r="C345" s="1">
        <v>8</v>
      </c>
      <c r="D345" s="3">
        <v>131164</v>
      </c>
      <c r="E345" s="1">
        <v>121</v>
      </c>
    </row>
    <row r="346" spans="1:5" ht="23.1" customHeight="1">
      <c r="A346" s="1" t="s">
        <v>40</v>
      </c>
      <c r="B346" s="1">
        <v>2018</v>
      </c>
      <c r="C346" s="1">
        <v>9</v>
      </c>
      <c r="D346" s="3">
        <v>174015</v>
      </c>
      <c r="E346" s="1">
        <v>135</v>
      </c>
    </row>
    <row r="347" spans="1:5" ht="23.1" customHeight="1">
      <c r="A347" s="1" t="s">
        <v>40</v>
      </c>
      <c r="B347" s="1">
        <v>2018</v>
      </c>
      <c r="C347" s="1">
        <v>10</v>
      </c>
      <c r="D347" s="3">
        <v>363630</v>
      </c>
      <c r="E347" s="1">
        <v>255</v>
      </c>
    </row>
    <row r="348" spans="1:5" ht="23.1" customHeight="1">
      <c r="A348" s="1" t="s">
        <v>40</v>
      </c>
      <c r="B348" s="1">
        <v>2018</v>
      </c>
      <c r="C348" s="1">
        <v>11</v>
      </c>
      <c r="D348" s="3">
        <v>272250</v>
      </c>
      <c r="E348" s="1">
        <v>198</v>
      </c>
    </row>
    <row r="349" spans="1:5" ht="23.1" customHeight="1">
      <c r="A349" s="1" t="s">
        <v>40</v>
      </c>
      <c r="B349" s="1">
        <v>2018</v>
      </c>
      <c r="C349" s="1">
        <v>12</v>
      </c>
      <c r="D349" s="3">
        <v>203116</v>
      </c>
      <c r="E349" s="1">
        <v>206</v>
      </c>
    </row>
    <row r="350" spans="1:5" ht="23.1" customHeight="1">
      <c r="A350" s="1" t="s">
        <v>40</v>
      </c>
      <c r="B350" s="1">
        <v>2019</v>
      </c>
      <c r="C350" s="1">
        <v>1</v>
      </c>
      <c r="D350" s="3">
        <v>275604</v>
      </c>
      <c r="E350" s="1">
        <v>204</v>
      </c>
    </row>
    <row r="351" spans="1:5" ht="23.1" customHeight="1">
      <c r="A351" s="1" t="s">
        <v>40</v>
      </c>
      <c r="B351" s="1">
        <v>2019</v>
      </c>
      <c r="C351" s="1">
        <v>2</v>
      </c>
      <c r="D351" s="3">
        <v>335958</v>
      </c>
      <c r="E351" s="1">
        <v>266</v>
      </c>
    </row>
    <row r="352" spans="1:5" ht="23.1" customHeight="1">
      <c r="A352" s="1" t="s">
        <v>40</v>
      </c>
      <c r="B352" s="1">
        <v>2019</v>
      </c>
      <c r="C352" s="1">
        <v>3</v>
      </c>
      <c r="D352" s="3">
        <v>236782</v>
      </c>
      <c r="E352" s="1">
        <v>182</v>
      </c>
    </row>
    <row r="353" spans="1:5" ht="23.1" customHeight="1">
      <c r="A353" s="1" t="s">
        <v>40</v>
      </c>
      <c r="B353" s="1">
        <v>2019</v>
      </c>
      <c r="C353" s="1">
        <v>4</v>
      </c>
      <c r="D353" s="3">
        <v>168870</v>
      </c>
      <c r="E353" s="1">
        <v>195</v>
      </c>
    </row>
    <row r="354" spans="1:5" ht="23.1" customHeight="1">
      <c r="A354" s="1" t="s">
        <v>40</v>
      </c>
      <c r="B354" s="1">
        <v>2019</v>
      </c>
      <c r="C354" s="1">
        <v>5</v>
      </c>
      <c r="D354" s="3">
        <v>351116</v>
      </c>
      <c r="E354" s="1">
        <v>244</v>
      </c>
    </row>
    <row r="355" spans="1:5" ht="23.1" customHeight="1">
      <c r="A355" s="1" t="s">
        <v>40</v>
      </c>
      <c r="B355" s="1">
        <v>2019</v>
      </c>
      <c r="C355" s="1">
        <v>6</v>
      </c>
      <c r="D355" s="3">
        <v>339273</v>
      </c>
      <c r="E355" s="1">
        <v>253</v>
      </c>
    </row>
    <row r="356" spans="1:5" ht="23.1" customHeight="1">
      <c r="A356" s="1" t="s">
        <v>40</v>
      </c>
      <c r="B356" s="1">
        <v>2019</v>
      </c>
      <c r="C356" s="1">
        <v>7</v>
      </c>
      <c r="D356" s="3">
        <v>249672</v>
      </c>
      <c r="E356" s="1">
        <v>206</v>
      </c>
    </row>
    <row r="357" spans="1:5" ht="23.1" customHeight="1">
      <c r="A357" s="1" t="s">
        <v>40</v>
      </c>
      <c r="B357" s="1">
        <v>2019</v>
      </c>
      <c r="C357" s="1">
        <v>8</v>
      </c>
      <c r="D357" s="3">
        <v>138875</v>
      </c>
      <c r="E357" s="1">
        <v>125</v>
      </c>
    </row>
    <row r="358" spans="1:5" ht="23.1" customHeight="1">
      <c r="A358" s="1" t="s">
        <v>40</v>
      </c>
      <c r="B358" s="1">
        <v>2019</v>
      </c>
      <c r="C358" s="1">
        <v>9</v>
      </c>
      <c r="D358" s="3">
        <v>182784</v>
      </c>
      <c r="E358" s="1">
        <v>136</v>
      </c>
    </row>
    <row r="359" spans="1:5" ht="23.1" customHeight="1">
      <c r="A359" s="1" t="s">
        <v>40</v>
      </c>
      <c r="B359" s="1">
        <v>2019</v>
      </c>
      <c r="C359" s="1">
        <v>10</v>
      </c>
      <c r="D359" s="3">
        <v>381507</v>
      </c>
      <c r="E359" s="1">
        <v>259</v>
      </c>
    </row>
    <row r="360" spans="1:5" ht="23.1" customHeight="1">
      <c r="A360" s="1" t="s">
        <v>40</v>
      </c>
      <c r="B360" s="1">
        <v>2019</v>
      </c>
      <c r="C360" s="1">
        <v>11</v>
      </c>
      <c r="D360" s="3">
        <v>292905</v>
      </c>
      <c r="E360" s="1">
        <v>207</v>
      </c>
    </row>
    <row r="361" spans="1:5" ht="23.1" customHeight="1">
      <c r="A361" s="1" t="s">
        <v>40</v>
      </c>
      <c r="B361" s="1">
        <v>2019</v>
      </c>
      <c r="C361" s="1">
        <v>12</v>
      </c>
      <c r="D361" s="3">
        <v>219816</v>
      </c>
      <c r="E361" s="1">
        <v>213</v>
      </c>
    </row>
    <row r="362" spans="1:5" ht="23.1" customHeight="1">
      <c r="A362" s="1" t="s">
        <v>36</v>
      </c>
      <c r="B362" s="1">
        <v>2018</v>
      </c>
      <c r="C362" s="1">
        <v>1</v>
      </c>
      <c r="D362" s="3">
        <v>189208</v>
      </c>
      <c r="E362" s="1">
        <v>134</v>
      </c>
    </row>
    <row r="363" spans="1:5" ht="23.1" customHeight="1">
      <c r="A363" s="1" t="s">
        <v>36</v>
      </c>
      <c r="B363" s="1">
        <v>2018</v>
      </c>
      <c r="C363" s="1">
        <v>2</v>
      </c>
      <c r="D363" s="3">
        <v>293888</v>
      </c>
      <c r="E363" s="1">
        <v>256</v>
      </c>
    </row>
    <row r="364" spans="1:5" ht="23.1" customHeight="1">
      <c r="A364" s="1" t="s">
        <v>36</v>
      </c>
      <c r="B364" s="1">
        <v>2018</v>
      </c>
      <c r="C364" s="1">
        <v>3</v>
      </c>
      <c r="D364" s="3">
        <v>224145</v>
      </c>
      <c r="E364" s="1">
        <v>255</v>
      </c>
    </row>
    <row r="365" spans="1:5" ht="23.1" customHeight="1">
      <c r="A365" s="1" t="s">
        <v>36</v>
      </c>
      <c r="B365" s="1">
        <v>2018</v>
      </c>
      <c r="C365" s="1">
        <v>4</v>
      </c>
      <c r="D365" s="3">
        <v>435120</v>
      </c>
      <c r="E365" s="1">
        <v>296</v>
      </c>
    </row>
    <row r="366" spans="1:5" ht="23.1" customHeight="1">
      <c r="A366" s="1" t="s">
        <v>36</v>
      </c>
      <c r="B366" s="1">
        <v>2018</v>
      </c>
      <c r="C366" s="1">
        <v>5</v>
      </c>
      <c r="D366" s="3">
        <v>362340</v>
      </c>
      <c r="E366" s="1">
        <v>270</v>
      </c>
    </row>
    <row r="367" spans="1:5" ht="23.1" customHeight="1">
      <c r="A367" s="1" t="s">
        <v>36</v>
      </c>
      <c r="B367" s="1">
        <v>2018</v>
      </c>
      <c r="C367" s="1">
        <v>6</v>
      </c>
      <c r="D367" s="3">
        <v>282700</v>
      </c>
      <c r="E367" s="1">
        <v>220</v>
      </c>
    </row>
    <row r="368" spans="1:5" ht="23.1" customHeight="1">
      <c r="A368" s="1" t="s">
        <v>36</v>
      </c>
      <c r="B368" s="1">
        <v>2018</v>
      </c>
      <c r="C368" s="1">
        <v>7</v>
      </c>
      <c r="D368" s="3">
        <v>383130</v>
      </c>
      <c r="E368" s="1">
        <v>258</v>
      </c>
    </row>
    <row r="369" spans="1:5" ht="23.1" customHeight="1">
      <c r="A369" s="1" t="s">
        <v>36</v>
      </c>
      <c r="B369" s="1">
        <v>2018</v>
      </c>
      <c r="C369" s="1">
        <v>8</v>
      </c>
      <c r="D369" s="3">
        <v>378066</v>
      </c>
      <c r="E369" s="1">
        <v>262</v>
      </c>
    </row>
    <row r="370" spans="1:5" ht="23.1" customHeight="1">
      <c r="A370" s="1" t="s">
        <v>36</v>
      </c>
      <c r="B370" s="1">
        <v>2018</v>
      </c>
      <c r="C370" s="1">
        <v>9</v>
      </c>
      <c r="D370" s="3">
        <v>217565</v>
      </c>
      <c r="E370" s="1">
        <v>265</v>
      </c>
    </row>
    <row r="371" spans="1:5" ht="23.1" customHeight="1">
      <c r="A371" s="1" t="s">
        <v>36</v>
      </c>
      <c r="B371" s="1">
        <v>2018</v>
      </c>
      <c r="C371" s="1">
        <v>10</v>
      </c>
      <c r="D371" s="3">
        <v>439845</v>
      </c>
      <c r="E371" s="1">
        <v>295</v>
      </c>
    </row>
    <row r="372" spans="1:5" ht="23.1" customHeight="1">
      <c r="A372" s="1" t="s">
        <v>36</v>
      </c>
      <c r="B372" s="1">
        <v>2018</v>
      </c>
      <c r="C372" s="1">
        <v>11</v>
      </c>
      <c r="D372" s="3">
        <v>176244</v>
      </c>
      <c r="E372" s="1">
        <v>228</v>
      </c>
    </row>
    <row r="373" spans="1:5" ht="23.1" customHeight="1">
      <c r="A373" s="1" t="s">
        <v>36</v>
      </c>
      <c r="B373" s="1">
        <v>2018</v>
      </c>
      <c r="C373" s="1">
        <v>12</v>
      </c>
      <c r="D373" s="3">
        <v>278784</v>
      </c>
      <c r="E373" s="1">
        <v>256</v>
      </c>
    </row>
    <row r="374" spans="1:5" ht="23.1" customHeight="1">
      <c r="A374" s="1" t="s">
        <v>36</v>
      </c>
      <c r="B374" s="1">
        <v>2019</v>
      </c>
      <c r="C374" s="1">
        <v>1</v>
      </c>
      <c r="D374" s="3">
        <v>200056</v>
      </c>
      <c r="E374" s="1">
        <v>136</v>
      </c>
    </row>
    <row r="375" spans="1:5" ht="23.1" customHeight="1">
      <c r="A375" s="1" t="s">
        <v>36</v>
      </c>
      <c r="B375" s="1">
        <v>2019</v>
      </c>
      <c r="C375" s="1">
        <v>2</v>
      </c>
      <c r="D375" s="3">
        <v>312707</v>
      </c>
      <c r="E375" s="1">
        <v>263</v>
      </c>
    </row>
    <row r="376" spans="1:5" ht="23.1" customHeight="1">
      <c r="A376" s="1" t="s">
        <v>36</v>
      </c>
      <c r="B376" s="1">
        <v>2019</v>
      </c>
      <c r="C376" s="1">
        <v>3</v>
      </c>
      <c r="D376" s="3">
        <v>231680</v>
      </c>
      <c r="E376" s="1">
        <v>256</v>
      </c>
    </row>
    <row r="377" spans="1:5" ht="23.1" customHeight="1">
      <c r="A377" s="1" t="s">
        <v>36</v>
      </c>
      <c r="B377" s="1">
        <v>2019</v>
      </c>
      <c r="C377" s="1">
        <v>4</v>
      </c>
      <c r="D377" s="3">
        <v>458738</v>
      </c>
      <c r="E377" s="1">
        <v>302</v>
      </c>
    </row>
    <row r="378" spans="1:5" ht="23.1" customHeight="1">
      <c r="A378" s="1" t="s">
        <v>36</v>
      </c>
      <c r="B378" s="1">
        <v>2019</v>
      </c>
      <c r="C378" s="1">
        <v>5</v>
      </c>
      <c r="D378" s="3">
        <v>378603</v>
      </c>
      <c r="E378" s="1">
        <v>279</v>
      </c>
    </row>
    <row r="379" spans="1:5" ht="23.1" customHeight="1">
      <c r="A379" s="1" t="s">
        <v>36</v>
      </c>
      <c r="B379" s="1">
        <v>2019</v>
      </c>
      <c r="C379" s="1">
        <v>6</v>
      </c>
      <c r="D379" s="3">
        <v>298224</v>
      </c>
      <c r="E379" s="1">
        <v>228</v>
      </c>
    </row>
    <row r="380" spans="1:5" ht="23.1" customHeight="1">
      <c r="A380" s="1" t="s">
        <v>36</v>
      </c>
      <c r="B380" s="1">
        <v>2019</v>
      </c>
      <c r="C380" s="1">
        <v>7</v>
      </c>
      <c r="D380" s="3">
        <v>400074</v>
      </c>
      <c r="E380" s="1">
        <v>262</v>
      </c>
    </row>
    <row r="381" spans="1:5" ht="23.1" customHeight="1">
      <c r="A381" s="1" t="s">
        <v>36</v>
      </c>
      <c r="B381" s="1">
        <v>2019</v>
      </c>
      <c r="C381" s="1">
        <v>8</v>
      </c>
      <c r="D381" s="3">
        <v>390345</v>
      </c>
      <c r="E381" s="1">
        <v>265</v>
      </c>
    </row>
    <row r="382" spans="1:5" ht="23.1" customHeight="1">
      <c r="A382" s="1" t="s">
        <v>36</v>
      </c>
      <c r="B382" s="1">
        <v>2019</v>
      </c>
      <c r="C382" s="1">
        <v>9</v>
      </c>
      <c r="D382" s="3">
        <v>221118</v>
      </c>
      <c r="E382" s="1">
        <v>269</v>
      </c>
    </row>
    <row r="383" spans="1:5" ht="23.1" customHeight="1">
      <c r="A383" s="1" t="s">
        <v>36</v>
      </c>
      <c r="B383" s="1">
        <v>2019</v>
      </c>
      <c r="C383" s="1">
        <v>10</v>
      </c>
      <c r="D383" s="3">
        <v>470256</v>
      </c>
      <c r="E383" s="1">
        <v>303</v>
      </c>
    </row>
    <row r="384" spans="1:5" ht="23.1" customHeight="1">
      <c r="A384" s="1" t="s">
        <v>36</v>
      </c>
      <c r="B384" s="1">
        <v>2019</v>
      </c>
      <c r="C384" s="1">
        <v>11</v>
      </c>
      <c r="D384" s="3">
        <v>178940</v>
      </c>
      <c r="E384" s="1">
        <v>230</v>
      </c>
    </row>
    <row r="385" spans="1:5" ht="23.1" customHeight="1">
      <c r="A385" s="1" t="s">
        <v>36</v>
      </c>
      <c r="B385" s="1">
        <v>2019</v>
      </c>
      <c r="C385" s="1">
        <v>12</v>
      </c>
      <c r="D385" s="3">
        <v>296757</v>
      </c>
      <c r="E385" s="1">
        <v>261</v>
      </c>
    </row>
    <row r="386" spans="1:5" ht="23.1" customHeight="1">
      <c r="A386" s="1" t="s">
        <v>43</v>
      </c>
      <c r="B386" s="1">
        <v>2018</v>
      </c>
      <c r="C386" s="1">
        <v>1</v>
      </c>
      <c r="D386" s="3">
        <v>105162</v>
      </c>
      <c r="E386" s="1">
        <v>102</v>
      </c>
    </row>
    <row r="387" spans="1:5" ht="23.1" customHeight="1">
      <c r="A387" s="1" t="s">
        <v>43</v>
      </c>
      <c r="B387" s="1">
        <v>2018</v>
      </c>
      <c r="C387" s="1">
        <v>2</v>
      </c>
      <c r="D387" s="3">
        <v>383240</v>
      </c>
      <c r="E387" s="1">
        <v>260</v>
      </c>
    </row>
    <row r="388" spans="1:5" ht="23.1" customHeight="1">
      <c r="A388" s="1" t="s">
        <v>43</v>
      </c>
      <c r="B388" s="1">
        <v>2018</v>
      </c>
      <c r="C388" s="1">
        <v>3</v>
      </c>
      <c r="D388" s="3">
        <v>268800</v>
      </c>
      <c r="E388" s="1">
        <v>280</v>
      </c>
    </row>
    <row r="389" spans="1:5" ht="23.1" customHeight="1">
      <c r="A389" s="1" t="s">
        <v>43</v>
      </c>
      <c r="B389" s="1">
        <v>2018</v>
      </c>
      <c r="C389" s="1">
        <v>4</v>
      </c>
      <c r="D389" s="3">
        <v>154560</v>
      </c>
      <c r="E389" s="1">
        <v>105</v>
      </c>
    </row>
    <row r="390" spans="1:5" ht="23.1" customHeight="1">
      <c r="A390" s="1" t="s">
        <v>43</v>
      </c>
      <c r="B390" s="1">
        <v>2018</v>
      </c>
      <c r="C390" s="1">
        <v>5</v>
      </c>
      <c r="D390" s="3">
        <v>224236</v>
      </c>
      <c r="E390" s="1">
        <v>244</v>
      </c>
    </row>
    <row r="391" spans="1:5" ht="23.1" customHeight="1">
      <c r="A391" s="1" t="s">
        <v>43</v>
      </c>
      <c r="B391" s="1">
        <v>2018</v>
      </c>
      <c r="C391" s="1">
        <v>6</v>
      </c>
      <c r="D391" s="3">
        <v>369264</v>
      </c>
      <c r="E391" s="1">
        <v>294</v>
      </c>
    </row>
    <row r="392" spans="1:5" ht="23.1" customHeight="1">
      <c r="A392" s="1" t="s">
        <v>43</v>
      </c>
      <c r="B392" s="1">
        <v>2018</v>
      </c>
      <c r="C392" s="1">
        <v>7</v>
      </c>
      <c r="D392" s="3">
        <v>392740</v>
      </c>
      <c r="E392" s="1">
        <v>292</v>
      </c>
    </row>
    <row r="393" spans="1:5" ht="23.1" customHeight="1">
      <c r="A393" s="1" t="s">
        <v>43</v>
      </c>
      <c r="B393" s="1">
        <v>2018</v>
      </c>
      <c r="C393" s="1">
        <v>8</v>
      </c>
      <c r="D393" s="3">
        <v>261756</v>
      </c>
      <c r="E393" s="1">
        <v>198</v>
      </c>
    </row>
    <row r="394" spans="1:5" ht="23.1" customHeight="1">
      <c r="A394" s="1" t="s">
        <v>43</v>
      </c>
      <c r="B394" s="1">
        <v>2018</v>
      </c>
      <c r="C394" s="1">
        <v>9</v>
      </c>
      <c r="D394" s="3">
        <v>186030</v>
      </c>
      <c r="E394" s="1">
        <v>265</v>
      </c>
    </row>
    <row r="395" spans="1:5" ht="23.1" customHeight="1">
      <c r="A395" s="1" t="s">
        <v>43</v>
      </c>
      <c r="B395" s="1">
        <v>2018</v>
      </c>
      <c r="C395" s="1">
        <v>10</v>
      </c>
      <c r="D395" s="3">
        <v>149760</v>
      </c>
      <c r="E395" s="1">
        <v>130</v>
      </c>
    </row>
    <row r="396" spans="1:5" ht="23.1" customHeight="1">
      <c r="A396" s="1" t="s">
        <v>43</v>
      </c>
      <c r="B396" s="1">
        <v>2018</v>
      </c>
      <c r="C396" s="1">
        <v>11</v>
      </c>
      <c r="D396" s="3">
        <v>302900</v>
      </c>
      <c r="E396" s="1">
        <v>260</v>
      </c>
    </row>
    <row r="397" spans="1:5" ht="23.1" customHeight="1">
      <c r="A397" s="1" t="s">
        <v>43</v>
      </c>
      <c r="B397" s="1">
        <v>2018</v>
      </c>
      <c r="C397" s="1">
        <v>12</v>
      </c>
      <c r="D397" s="3">
        <v>214948</v>
      </c>
      <c r="E397" s="1">
        <v>218</v>
      </c>
    </row>
    <row r="398" spans="1:5" ht="23.1" customHeight="1">
      <c r="A398" s="1" t="s">
        <v>43</v>
      </c>
      <c r="B398" s="1">
        <v>2019</v>
      </c>
      <c r="C398" s="1">
        <v>1</v>
      </c>
      <c r="D398" s="3">
        <v>109096</v>
      </c>
      <c r="E398" s="1">
        <v>104</v>
      </c>
    </row>
    <row r="399" spans="1:5" ht="23.1" customHeight="1">
      <c r="A399" s="1" t="s">
        <v>43</v>
      </c>
      <c r="B399" s="1">
        <v>2019</v>
      </c>
      <c r="C399" s="1">
        <v>2</v>
      </c>
      <c r="D399" s="3">
        <v>408144</v>
      </c>
      <c r="E399" s="1">
        <v>264</v>
      </c>
    </row>
    <row r="400" spans="1:5" ht="23.1" customHeight="1">
      <c r="A400" s="1" t="s">
        <v>43</v>
      </c>
      <c r="B400" s="1">
        <v>2019</v>
      </c>
      <c r="C400" s="1">
        <v>3</v>
      </c>
      <c r="D400" s="3">
        <v>281295</v>
      </c>
      <c r="E400" s="1">
        <v>285</v>
      </c>
    </row>
    <row r="401" spans="1:5" ht="23.1" customHeight="1">
      <c r="A401" s="1" t="s">
        <v>43</v>
      </c>
      <c r="B401" s="1">
        <v>2019</v>
      </c>
      <c r="C401" s="1">
        <v>4</v>
      </c>
      <c r="D401" s="3">
        <v>157622</v>
      </c>
      <c r="E401" s="1">
        <v>106</v>
      </c>
    </row>
    <row r="402" spans="1:5" ht="23.1" customHeight="1">
      <c r="A402" s="1" t="s">
        <v>43</v>
      </c>
      <c r="B402" s="1">
        <v>2019</v>
      </c>
      <c r="C402" s="1">
        <v>5</v>
      </c>
      <c r="D402" s="3">
        <v>238506</v>
      </c>
      <c r="E402" s="1">
        <v>254</v>
      </c>
    </row>
    <row r="403" spans="1:5" ht="23.1" customHeight="1">
      <c r="A403" s="1" t="s">
        <v>43</v>
      </c>
      <c r="B403" s="1">
        <v>2019</v>
      </c>
      <c r="C403" s="1">
        <v>6</v>
      </c>
      <c r="D403" s="3">
        <v>386208</v>
      </c>
      <c r="E403" s="1">
        <v>298</v>
      </c>
    </row>
    <row r="404" spans="1:5" ht="23.1" customHeight="1">
      <c r="A404" s="1" t="s">
        <v>43</v>
      </c>
      <c r="B404" s="1">
        <v>2019</v>
      </c>
      <c r="C404" s="1">
        <v>7</v>
      </c>
      <c r="D404" s="3">
        <v>423168</v>
      </c>
      <c r="E404" s="1">
        <v>304</v>
      </c>
    </row>
    <row r="405" spans="1:5" ht="23.1" customHeight="1">
      <c r="A405" s="1" t="s">
        <v>43</v>
      </c>
      <c r="B405" s="1">
        <v>2019</v>
      </c>
      <c r="C405" s="1">
        <v>8</v>
      </c>
      <c r="D405" s="3">
        <v>268800</v>
      </c>
      <c r="E405" s="1">
        <v>200</v>
      </c>
    </row>
    <row r="406" spans="1:5" ht="23.1" customHeight="1">
      <c r="A406" s="1" t="s">
        <v>43</v>
      </c>
      <c r="B406" s="1">
        <v>2019</v>
      </c>
      <c r="C406" s="1">
        <v>9</v>
      </c>
      <c r="D406" s="3">
        <v>192622</v>
      </c>
      <c r="E406" s="1">
        <v>274</v>
      </c>
    </row>
    <row r="407" spans="1:5" ht="23.1" customHeight="1">
      <c r="A407" s="1" t="s">
        <v>43</v>
      </c>
      <c r="B407" s="1">
        <v>2019</v>
      </c>
      <c r="C407" s="1">
        <v>10</v>
      </c>
      <c r="D407" s="3">
        <v>153139</v>
      </c>
      <c r="E407" s="1">
        <v>131</v>
      </c>
    </row>
    <row r="408" spans="1:5" ht="23.1" customHeight="1">
      <c r="A408" s="1" t="s">
        <v>43</v>
      </c>
      <c r="B408" s="1">
        <v>2019</v>
      </c>
      <c r="C408" s="1">
        <v>11</v>
      </c>
      <c r="D408" s="3">
        <v>314793</v>
      </c>
      <c r="E408" s="1">
        <v>267</v>
      </c>
    </row>
    <row r="409" spans="1:5" ht="23.1" customHeight="1">
      <c r="A409" s="1" t="s">
        <v>43</v>
      </c>
      <c r="B409" s="1">
        <v>2019</v>
      </c>
      <c r="C409" s="1">
        <v>12</v>
      </c>
      <c r="D409" s="3">
        <v>229824</v>
      </c>
      <c r="E409" s="1">
        <v>228</v>
      </c>
    </row>
    <row r="410" spans="1:5" ht="23.1" customHeight="1">
      <c r="A410" s="1" t="s">
        <v>51</v>
      </c>
      <c r="B410" s="1">
        <v>2018</v>
      </c>
      <c r="C410" s="1">
        <v>1</v>
      </c>
      <c r="D410" s="3">
        <v>209525</v>
      </c>
      <c r="E410" s="1">
        <v>145</v>
      </c>
    </row>
    <row r="411" spans="1:5" ht="23.1" customHeight="1">
      <c r="A411" s="1" t="s">
        <v>51</v>
      </c>
      <c r="B411" s="1">
        <v>2018</v>
      </c>
      <c r="C411" s="1">
        <v>2</v>
      </c>
      <c r="D411" s="3">
        <v>172212</v>
      </c>
      <c r="E411" s="1">
        <v>226</v>
      </c>
    </row>
    <row r="412" spans="1:5" ht="23.1" customHeight="1">
      <c r="A412" s="1" t="s">
        <v>51</v>
      </c>
      <c r="B412" s="1">
        <v>2018</v>
      </c>
      <c r="C412" s="1">
        <v>3</v>
      </c>
      <c r="D412" s="3">
        <v>85799</v>
      </c>
      <c r="E412" s="1">
        <v>119</v>
      </c>
    </row>
    <row r="413" spans="1:5" ht="23.1" customHeight="1">
      <c r="A413" s="1" t="s">
        <v>51</v>
      </c>
      <c r="B413" s="1">
        <v>2018</v>
      </c>
      <c r="C413" s="1">
        <v>4</v>
      </c>
      <c r="D413" s="3">
        <v>210797</v>
      </c>
      <c r="E413" s="1">
        <v>277</v>
      </c>
    </row>
    <row r="414" spans="1:5" ht="23.1" customHeight="1">
      <c r="A414" s="1" t="s">
        <v>51</v>
      </c>
      <c r="B414" s="1">
        <v>2018</v>
      </c>
      <c r="C414" s="1">
        <v>5</v>
      </c>
      <c r="D414" s="3">
        <v>212940</v>
      </c>
      <c r="E414" s="1">
        <v>156</v>
      </c>
    </row>
    <row r="415" spans="1:5" ht="23.1" customHeight="1">
      <c r="A415" s="1" t="s">
        <v>51</v>
      </c>
      <c r="B415" s="1">
        <v>2018</v>
      </c>
      <c r="C415" s="1">
        <v>6</v>
      </c>
      <c r="D415" s="3">
        <v>210925</v>
      </c>
      <c r="E415" s="1">
        <v>143</v>
      </c>
    </row>
    <row r="416" spans="1:5" ht="23.1" customHeight="1">
      <c r="A416" s="1" t="s">
        <v>51</v>
      </c>
      <c r="B416" s="1">
        <v>2018</v>
      </c>
      <c r="C416" s="1">
        <v>7</v>
      </c>
      <c r="D416" s="3">
        <v>392916</v>
      </c>
      <c r="E416" s="1">
        <v>274</v>
      </c>
    </row>
    <row r="417" spans="1:5" ht="23.1" customHeight="1">
      <c r="A417" s="1" t="s">
        <v>51</v>
      </c>
      <c r="B417" s="1">
        <v>2018</v>
      </c>
      <c r="C417" s="1">
        <v>8</v>
      </c>
      <c r="D417" s="3">
        <v>230044</v>
      </c>
      <c r="E417" s="1">
        <v>199</v>
      </c>
    </row>
    <row r="418" spans="1:5" ht="23.1" customHeight="1">
      <c r="A418" s="1" t="s">
        <v>51</v>
      </c>
      <c r="B418" s="1">
        <v>2018</v>
      </c>
      <c r="C418" s="1">
        <v>9</v>
      </c>
      <c r="D418" s="3">
        <v>71900</v>
      </c>
      <c r="E418" s="1">
        <v>100</v>
      </c>
    </row>
    <row r="419" spans="1:5" ht="23.1" customHeight="1">
      <c r="A419" s="1" t="s">
        <v>51</v>
      </c>
      <c r="B419" s="1">
        <v>2018</v>
      </c>
      <c r="C419" s="1">
        <v>10</v>
      </c>
      <c r="D419" s="3">
        <v>201733</v>
      </c>
      <c r="E419" s="1">
        <v>161</v>
      </c>
    </row>
    <row r="420" spans="1:5" ht="23.1" customHeight="1">
      <c r="A420" s="1" t="s">
        <v>51</v>
      </c>
      <c r="B420" s="1">
        <v>2018</v>
      </c>
      <c r="C420" s="1">
        <v>11</v>
      </c>
      <c r="D420" s="3">
        <v>125476</v>
      </c>
      <c r="E420" s="1">
        <v>127</v>
      </c>
    </row>
    <row r="421" spans="1:5" ht="23.1" customHeight="1">
      <c r="A421" s="1" t="s">
        <v>51</v>
      </c>
      <c r="B421" s="1">
        <v>2018</v>
      </c>
      <c r="C421" s="1">
        <v>12</v>
      </c>
      <c r="D421" s="3">
        <v>117916</v>
      </c>
      <c r="E421" s="1">
        <v>164</v>
      </c>
    </row>
    <row r="422" spans="1:5" ht="23.1" customHeight="1">
      <c r="A422" s="1" t="s">
        <v>51</v>
      </c>
      <c r="B422" s="1">
        <v>2019</v>
      </c>
      <c r="C422" s="1">
        <v>1</v>
      </c>
      <c r="D422" s="3">
        <v>217708</v>
      </c>
      <c r="E422" s="1">
        <v>148</v>
      </c>
    </row>
    <row r="423" spans="1:5" ht="23.1" customHeight="1">
      <c r="A423" s="1" t="s">
        <v>51</v>
      </c>
      <c r="B423" s="1">
        <v>2019</v>
      </c>
      <c r="C423" s="1">
        <v>2</v>
      </c>
      <c r="D423" s="3">
        <v>183300</v>
      </c>
      <c r="E423" s="1">
        <v>235</v>
      </c>
    </row>
    <row r="424" spans="1:5" ht="23.1" customHeight="1">
      <c r="A424" s="1" t="s">
        <v>51</v>
      </c>
      <c r="B424" s="1">
        <v>2019</v>
      </c>
      <c r="C424" s="1">
        <v>3</v>
      </c>
      <c r="D424" s="3">
        <v>90480</v>
      </c>
      <c r="E424" s="1">
        <v>120</v>
      </c>
    </row>
    <row r="425" spans="1:5" ht="23.1" customHeight="1">
      <c r="A425" s="1" t="s">
        <v>51</v>
      </c>
      <c r="B425" s="1">
        <v>2019</v>
      </c>
      <c r="C425" s="1">
        <v>4</v>
      </c>
      <c r="D425" s="3">
        <v>222615</v>
      </c>
      <c r="E425" s="1">
        <v>291</v>
      </c>
    </row>
    <row r="426" spans="1:5" ht="23.1" customHeight="1">
      <c r="A426" s="1" t="s">
        <v>51</v>
      </c>
      <c r="B426" s="1">
        <v>2019</v>
      </c>
      <c r="C426" s="1">
        <v>5</v>
      </c>
      <c r="D426" s="3">
        <v>231984</v>
      </c>
      <c r="E426" s="1">
        <v>162</v>
      </c>
    </row>
    <row r="427" spans="1:5" ht="23.1" customHeight="1">
      <c r="A427" s="1" t="s">
        <v>51</v>
      </c>
      <c r="B427" s="1">
        <v>2019</v>
      </c>
      <c r="C427" s="1">
        <v>6</v>
      </c>
      <c r="D427" s="3">
        <v>219912</v>
      </c>
      <c r="E427" s="1">
        <v>147</v>
      </c>
    </row>
    <row r="428" spans="1:5" ht="23.1" customHeight="1">
      <c r="A428" s="1" t="s">
        <v>51</v>
      </c>
      <c r="B428" s="1">
        <v>2019</v>
      </c>
      <c r="C428" s="1">
        <v>7</v>
      </c>
      <c r="D428" s="3">
        <v>405996</v>
      </c>
      <c r="E428" s="1">
        <v>276</v>
      </c>
    </row>
    <row r="429" spans="1:5" ht="23.1" customHeight="1">
      <c r="A429" s="1" t="s">
        <v>51</v>
      </c>
      <c r="B429" s="1">
        <v>2019</v>
      </c>
      <c r="C429" s="1">
        <v>8</v>
      </c>
      <c r="D429" s="3">
        <v>243168</v>
      </c>
      <c r="E429" s="1">
        <v>204</v>
      </c>
    </row>
    <row r="430" spans="1:5" ht="23.1" customHeight="1">
      <c r="A430" s="1" t="s">
        <v>51</v>
      </c>
      <c r="B430" s="1">
        <v>2019</v>
      </c>
      <c r="C430" s="1">
        <v>9</v>
      </c>
      <c r="D430" s="3">
        <v>73700</v>
      </c>
      <c r="E430" s="1">
        <v>100</v>
      </c>
    </row>
    <row r="431" spans="1:5" ht="23.1" customHeight="1">
      <c r="A431" s="1" t="s">
        <v>51</v>
      </c>
      <c r="B431" s="1">
        <v>2019</v>
      </c>
      <c r="C431" s="1">
        <v>10</v>
      </c>
      <c r="D431" s="3">
        <v>215004</v>
      </c>
      <c r="E431" s="1">
        <v>164</v>
      </c>
    </row>
    <row r="432" spans="1:5" ht="23.1" customHeight="1">
      <c r="A432" s="1" t="s">
        <v>51</v>
      </c>
      <c r="B432" s="1">
        <v>2019</v>
      </c>
      <c r="C432" s="1">
        <v>11</v>
      </c>
      <c r="D432" s="3">
        <v>132965</v>
      </c>
      <c r="E432" s="1">
        <v>131</v>
      </c>
    </row>
    <row r="433" spans="1:5" ht="23.1" customHeight="1">
      <c r="A433" s="1" t="s">
        <v>51</v>
      </c>
      <c r="B433" s="1">
        <v>2019</v>
      </c>
      <c r="C433" s="1">
        <v>12</v>
      </c>
      <c r="D433" s="3">
        <v>124950</v>
      </c>
      <c r="E433" s="1">
        <v>170</v>
      </c>
    </row>
    <row r="434" spans="1:5" ht="23.1" customHeight="1">
      <c r="A434" s="1" t="s">
        <v>42</v>
      </c>
      <c r="B434" s="1">
        <v>2018</v>
      </c>
      <c r="C434" s="1">
        <v>1</v>
      </c>
      <c r="D434" s="3">
        <v>210870</v>
      </c>
      <c r="E434" s="1">
        <v>213</v>
      </c>
    </row>
    <row r="435" spans="1:5" ht="23.1" customHeight="1">
      <c r="A435" s="1" t="s">
        <v>42</v>
      </c>
      <c r="B435" s="1">
        <v>2018</v>
      </c>
      <c r="C435" s="1">
        <v>2</v>
      </c>
      <c r="D435" s="3">
        <v>125868</v>
      </c>
      <c r="E435" s="1">
        <v>102</v>
      </c>
    </row>
    <row r="436" spans="1:5" ht="23.1" customHeight="1">
      <c r="A436" s="1" t="s">
        <v>42</v>
      </c>
      <c r="B436" s="1">
        <v>2018</v>
      </c>
      <c r="C436" s="1">
        <v>3</v>
      </c>
      <c r="D436" s="3">
        <v>287812</v>
      </c>
      <c r="E436" s="1">
        <v>266</v>
      </c>
    </row>
    <row r="437" spans="1:5" ht="23.1" customHeight="1">
      <c r="A437" s="1" t="s">
        <v>42</v>
      </c>
      <c r="B437" s="1">
        <v>2018</v>
      </c>
      <c r="C437" s="1">
        <v>4</v>
      </c>
      <c r="D437" s="3">
        <v>164160</v>
      </c>
      <c r="E437" s="1">
        <v>180</v>
      </c>
    </row>
    <row r="438" spans="1:5" ht="23.1" customHeight="1">
      <c r="A438" s="1" t="s">
        <v>42</v>
      </c>
      <c r="B438" s="1">
        <v>2018</v>
      </c>
      <c r="C438" s="1">
        <v>5</v>
      </c>
      <c r="D438" s="3">
        <v>203021</v>
      </c>
      <c r="E438" s="1">
        <v>161</v>
      </c>
    </row>
    <row r="439" spans="1:5" ht="23.1" customHeight="1">
      <c r="A439" s="1" t="s">
        <v>42</v>
      </c>
      <c r="B439" s="1">
        <v>2018</v>
      </c>
      <c r="C439" s="1">
        <v>6</v>
      </c>
      <c r="D439" s="3">
        <v>125280</v>
      </c>
      <c r="E439" s="1">
        <v>135</v>
      </c>
    </row>
    <row r="440" spans="1:5" ht="23.1" customHeight="1">
      <c r="A440" s="1" t="s">
        <v>42</v>
      </c>
      <c r="B440" s="1">
        <v>2018</v>
      </c>
      <c r="C440" s="1">
        <v>7</v>
      </c>
      <c r="D440" s="3">
        <v>363145</v>
      </c>
      <c r="E440" s="1">
        <v>295</v>
      </c>
    </row>
    <row r="441" spans="1:5" ht="23.1" customHeight="1">
      <c r="A441" s="1" t="s">
        <v>42</v>
      </c>
      <c r="B441" s="1">
        <v>2018</v>
      </c>
      <c r="C441" s="1">
        <v>8</v>
      </c>
      <c r="D441" s="3">
        <v>278964</v>
      </c>
      <c r="E441" s="1">
        <v>246</v>
      </c>
    </row>
    <row r="442" spans="1:5" ht="23.1" customHeight="1">
      <c r="A442" s="1" t="s">
        <v>42</v>
      </c>
      <c r="B442" s="1">
        <v>2018</v>
      </c>
      <c r="C442" s="1">
        <v>9</v>
      </c>
      <c r="D442" s="3">
        <v>233416</v>
      </c>
      <c r="E442" s="1">
        <v>163</v>
      </c>
    </row>
    <row r="443" spans="1:5" ht="23.1" customHeight="1">
      <c r="A443" s="1" t="s">
        <v>42</v>
      </c>
      <c r="B443" s="1">
        <v>2018</v>
      </c>
      <c r="C443" s="1">
        <v>10</v>
      </c>
      <c r="D443" s="3">
        <v>199485</v>
      </c>
      <c r="E443" s="1">
        <v>143</v>
      </c>
    </row>
    <row r="444" spans="1:5" ht="23.1" customHeight="1">
      <c r="A444" s="1" t="s">
        <v>42</v>
      </c>
      <c r="B444" s="1">
        <v>2018</v>
      </c>
      <c r="C444" s="1">
        <v>11</v>
      </c>
      <c r="D444" s="3">
        <v>343672</v>
      </c>
      <c r="E444" s="1">
        <v>238</v>
      </c>
    </row>
    <row r="445" spans="1:5" ht="23.1" customHeight="1">
      <c r="A445" s="1" t="s">
        <v>42</v>
      </c>
      <c r="B445" s="1">
        <v>2018</v>
      </c>
      <c r="C445" s="1">
        <v>12</v>
      </c>
      <c r="D445" s="3">
        <v>233529</v>
      </c>
      <c r="E445" s="1">
        <v>241</v>
      </c>
    </row>
    <row r="446" spans="1:5" ht="23.1" customHeight="1">
      <c r="A446" s="1" t="s">
        <v>42</v>
      </c>
      <c r="B446" s="1">
        <v>2019</v>
      </c>
      <c r="C446" s="1">
        <v>1</v>
      </c>
      <c r="D446" s="3">
        <v>216566</v>
      </c>
      <c r="E446" s="1">
        <v>217</v>
      </c>
    </row>
    <row r="447" spans="1:5" ht="23.1" customHeight="1">
      <c r="A447" s="1" t="s">
        <v>42</v>
      </c>
      <c r="B447" s="1">
        <v>2019</v>
      </c>
      <c r="C447" s="1">
        <v>2</v>
      </c>
      <c r="D447" s="3">
        <v>127205</v>
      </c>
      <c r="E447" s="1">
        <v>103</v>
      </c>
    </row>
    <row r="448" spans="1:5" ht="23.1" customHeight="1">
      <c r="A448" s="1" t="s">
        <v>42</v>
      </c>
      <c r="B448" s="1">
        <v>2019</v>
      </c>
      <c r="C448" s="1">
        <v>3</v>
      </c>
      <c r="D448" s="3">
        <v>311902</v>
      </c>
      <c r="E448" s="1">
        <v>277</v>
      </c>
    </row>
    <row r="449" spans="1:5" ht="23.1" customHeight="1">
      <c r="A449" s="1" t="s">
        <v>42</v>
      </c>
      <c r="B449" s="1">
        <v>2019</v>
      </c>
      <c r="C449" s="1">
        <v>4</v>
      </c>
      <c r="D449" s="3">
        <v>174447</v>
      </c>
      <c r="E449" s="1">
        <v>189</v>
      </c>
    </row>
    <row r="450" spans="1:5" ht="23.1" customHeight="1">
      <c r="A450" s="1" t="s">
        <v>42</v>
      </c>
      <c r="B450" s="1">
        <v>2019</v>
      </c>
      <c r="C450" s="1">
        <v>5</v>
      </c>
      <c r="D450" s="3">
        <v>211896</v>
      </c>
      <c r="E450" s="1">
        <v>162</v>
      </c>
    </row>
    <row r="451" spans="1:5" ht="23.1" customHeight="1">
      <c r="A451" s="1" t="s">
        <v>42</v>
      </c>
      <c r="B451" s="1">
        <v>2019</v>
      </c>
      <c r="C451" s="1">
        <v>6</v>
      </c>
      <c r="D451" s="3">
        <v>130152</v>
      </c>
      <c r="E451" s="1">
        <v>136</v>
      </c>
    </row>
    <row r="452" spans="1:5" ht="23.1" customHeight="1">
      <c r="A452" s="1" t="s">
        <v>42</v>
      </c>
      <c r="B452" s="1">
        <v>2019</v>
      </c>
      <c r="C452" s="1">
        <v>7</v>
      </c>
      <c r="D452" s="3">
        <v>393267</v>
      </c>
      <c r="E452" s="1">
        <v>307</v>
      </c>
    </row>
    <row r="453" spans="1:5" ht="23.1" customHeight="1">
      <c r="A453" s="1" t="s">
        <v>42</v>
      </c>
      <c r="B453" s="1">
        <v>2019</v>
      </c>
      <c r="C453" s="1">
        <v>8</v>
      </c>
      <c r="D453" s="3">
        <v>301568</v>
      </c>
      <c r="E453" s="1">
        <v>256</v>
      </c>
    </row>
    <row r="454" spans="1:5" ht="23.1" customHeight="1">
      <c r="A454" s="1" t="s">
        <v>42</v>
      </c>
      <c r="B454" s="1">
        <v>2019</v>
      </c>
      <c r="C454" s="1">
        <v>9</v>
      </c>
      <c r="D454" s="3">
        <v>241482</v>
      </c>
      <c r="E454" s="1">
        <v>167</v>
      </c>
    </row>
    <row r="455" spans="1:5" ht="23.1" customHeight="1">
      <c r="A455" s="1" t="s">
        <v>42</v>
      </c>
      <c r="B455" s="1">
        <v>2019</v>
      </c>
      <c r="C455" s="1">
        <v>10</v>
      </c>
      <c r="D455" s="3">
        <v>206770</v>
      </c>
      <c r="E455" s="1">
        <v>145</v>
      </c>
    </row>
    <row r="456" spans="1:5" ht="23.1" customHeight="1">
      <c r="A456" s="1" t="s">
        <v>42</v>
      </c>
      <c r="B456" s="1">
        <v>2019</v>
      </c>
      <c r="C456" s="1">
        <v>11</v>
      </c>
      <c r="D456" s="3">
        <v>358182</v>
      </c>
      <c r="E456" s="1">
        <v>243</v>
      </c>
    </row>
    <row r="457" spans="1:5" ht="23.1" customHeight="1">
      <c r="A457" s="1" t="s">
        <v>42</v>
      </c>
      <c r="B457" s="1">
        <v>2019</v>
      </c>
      <c r="C457" s="1">
        <v>12</v>
      </c>
      <c r="D457" s="3">
        <v>247450</v>
      </c>
      <c r="E457" s="1">
        <v>245</v>
      </c>
    </row>
    <row r="458" spans="1:5" ht="23.1" customHeight="1">
      <c r="A458" s="1" t="s">
        <v>45</v>
      </c>
      <c r="B458" s="1">
        <v>2018</v>
      </c>
      <c r="C458" s="1">
        <v>1</v>
      </c>
      <c r="D458" s="3">
        <v>157248</v>
      </c>
      <c r="E458" s="1">
        <v>144</v>
      </c>
    </row>
    <row r="459" spans="1:5" ht="23.1" customHeight="1">
      <c r="A459" s="1" t="s">
        <v>45</v>
      </c>
      <c r="B459" s="1">
        <v>2018</v>
      </c>
      <c r="C459" s="1">
        <v>2</v>
      </c>
      <c r="D459" s="3">
        <v>78744</v>
      </c>
      <c r="E459" s="1">
        <v>102</v>
      </c>
    </row>
    <row r="460" spans="1:5" ht="23.1" customHeight="1">
      <c r="A460" s="1" t="s">
        <v>45</v>
      </c>
      <c r="B460" s="1">
        <v>2018</v>
      </c>
      <c r="C460" s="1">
        <v>3</v>
      </c>
      <c r="D460" s="3">
        <v>227304</v>
      </c>
      <c r="E460" s="1">
        <v>231</v>
      </c>
    </row>
    <row r="461" spans="1:5" ht="23.1" customHeight="1">
      <c r="A461" s="1" t="s">
        <v>45</v>
      </c>
      <c r="B461" s="1">
        <v>2018</v>
      </c>
      <c r="C461" s="1">
        <v>4</v>
      </c>
      <c r="D461" s="3">
        <v>251076</v>
      </c>
      <c r="E461" s="1">
        <v>294</v>
      </c>
    </row>
    <row r="462" spans="1:5" ht="23.1" customHeight="1">
      <c r="A462" s="1" t="s">
        <v>45</v>
      </c>
      <c r="B462" s="1">
        <v>2018</v>
      </c>
      <c r="C462" s="1">
        <v>5</v>
      </c>
      <c r="D462" s="3">
        <v>421590</v>
      </c>
      <c r="E462" s="1">
        <v>299</v>
      </c>
    </row>
    <row r="463" spans="1:5" ht="23.1" customHeight="1">
      <c r="A463" s="1" t="s">
        <v>45</v>
      </c>
      <c r="B463" s="1">
        <v>2018</v>
      </c>
      <c r="C463" s="1">
        <v>6</v>
      </c>
      <c r="D463" s="3">
        <v>257520</v>
      </c>
      <c r="E463" s="1">
        <v>222</v>
      </c>
    </row>
    <row r="464" spans="1:5" ht="23.1" customHeight="1">
      <c r="A464" s="1" t="s">
        <v>45</v>
      </c>
      <c r="B464" s="1">
        <v>2018</v>
      </c>
      <c r="C464" s="1">
        <v>7</v>
      </c>
      <c r="D464" s="3">
        <v>277727</v>
      </c>
      <c r="E464" s="1">
        <v>193</v>
      </c>
    </row>
    <row r="465" spans="1:5" ht="23.1" customHeight="1">
      <c r="A465" s="1" t="s">
        <v>45</v>
      </c>
      <c r="B465" s="1">
        <v>2018</v>
      </c>
      <c r="C465" s="1">
        <v>8</v>
      </c>
      <c r="D465" s="3">
        <v>323334</v>
      </c>
      <c r="E465" s="1">
        <v>253</v>
      </c>
    </row>
    <row r="466" spans="1:5" ht="23.1" customHeight="1">
      <c r="A466" s="1" t="s">
        <v>45</v>
      </c>
      <c r="B466" s="1">
        <v>2018</v>
      </c>
      <c r="C466" s="1">
        <v>9</v>
      </c>
      <c r="D466" s="3">
        <v>177292</v>
      </c>
      <c r="E466" s="1">
        <v>127</v>
      </c>
    </row>
    <row r="467" spans="1:5" ht="23.1" customHeight="1">
      <c r="A467" s="1" t="s">
        <v>45</v>
      </c>
      <c r="B467" s="1">
        <v>2018</v>
      </c>
      <c r="C467" s="1">
        <v>10</v>
      </c>
      <c r="D467" s="3">
        <v>203406</v>
      </c>
      <c r="E467" s="1">
        <v>203</v>
      </c>
    </row>
    <row r="468" spans="1:5" ht="23.1" customHeight="1">
      <c r="A468" s="1" t="s">
        <v>45</v>
      </c>
      <c r="B468" s="1">
        <v>2018</v>
      </c>
      <c r="C468" s="1">
        <v>11</v>
      </c>
      <c r="D468" s="3">
        <v>224580</v>
      </c>
      <c r="E468" s="1">
        <v>228</v>
      </c>
    </row>
    <row r="469" spans="1:5" ht="23.1" customHeight="1">
      <c r="A469" s="1" t="s">
        <v>45</v>
      </c>
      <c r="B469" s="1">
        <v>2018</v>
      </c>
      <c r="C469" s="1">
        <v>12</v>
      </c>
      <c r="D469" s="3">
        <v>254772</v>
      </c>
      <c r="E469" s="1">
        <v>252</v>
      </c>
    </row>
    <row r="470" spans="1:5" ht="23.1" customHeight="1">
      <c r="A470" s="1" t="s">
        <v>45</v>
      </c>
      <c r="B470" s="1">
        <v>2019</v>
      </c>
      <c r="C470" s="1">
        <v>1</v>
      </c>
      <c r="D470" s="3">
        <v>160080</v>
      </c>
      <c r="E470" s="1">
        <v>145</v>
      </c>
    </row>
    <row r="471" spans="1:5" ht="23.1" customHeight="1">
      <c r="A471" s="1" t="s">
        <v>45</v>
      </c>
      <c r="B471" s="1">
        <v>2019</v>
      </c>
      <c r="C471" s="1">
        <v>2</v>
      </c>
      <c r="D471" s="3">
        <v>80478</v>
      </c>
      <c r="E471" s="1">
        <v>102</v>
      </c>
    </row>
    <row r="472" spans="1:5" ht="23.1" customHeight="1">
      <c r="A472" s="1" t="s">
        <v>45</v>
      </c>
      <c r="B472" s="1">
        <v>2019</v>
      </c>
      <c r="C472" s="1">
        <v>3</v>
      </c>
      <c r="D472" s="3">
        <v>248953</v>
      </c>
      <c r="E472" s="1">
        <v>241</v>
      </c>
    </row>
    <row r="473" spans="1:5" ht="23.1" customHeight="1">
      <c r="A473" s="1" t="s">
        <v>45</v>
      </c>
      <c r="B473" s="1">
        <v>2019</v>
      </c>
      <c r="C473" s="1">
        <v>4</v>
      </c>
      <c r="D473" s="3">
        <v>259462</v>
      </c>
      <c r="E473" s="1">
        <v>301</v>
      </c>
    </row>
    <row r="474" spans="1:5" ht="23.1" customHeight="1">
      <c r="A474" s="1" t="s">
        <v>45</v>
      </c>
      <c r="B474" s="1">
        <v>2019</v>
      </c>
      <c r="C474" s="1">
        <v>5</v>
      </c>
      <c r="D474" s="3">
        <v>433593</v>
      </c>
      <c r="E474" s="1">
        <v>303</v>
      </c>
    </row>
    <row r="475" spans="1:5" ht="23.1" customHeight="1">
      <c r="A475" s="1" t="s">
        <v>45</v>
      </c>
      <c r="B475" s="1">
        <v>2019</v>
      </c>
      <c r="C475" s="1">
        <v>6</v>
      </c>
      <c r="D475" s="3">
        <v>268388</v>
      </c>
      <c r="E475" s="1">
        <v>229</v>
      </c>
    </row>
    <row r="476" spans="1:5" ht="23.1" customHeight="1">
      <c r="A476" s="1" t="s">
        <v>45</v>
      </c>
      <c r="B476" s="1">
        <v>2019</v>
      </c>
      <c r="C476" s="1">
        <v>7</v>
      </c>
      <c r="D476" s="3">
        <v>302394</v>
      </c>
      <c r="E476" s="1">
        <v>202</v>
      </c>
    </row>
    <row r="477" spans="1:5" ht="23.1" customHeight="1">
      <c r="A477" s="1" t="s">
        <v>45</v>
      </c>
      <c r="B477" s="1">
        <v>2019</v>
      </c>
      <c r="C477" s="1">
        <v>8</v>
      </c>
      <c r="D477" s="3">
        <v>333060</v>
      </c>
      <c r="E477" s="1">
        <v>260</v>
      </c>
    </row>
    <row r="478" spans="1:5" ht="23.1" customHeight="1">
      <c r="A478" s="1" t="s">
        <v>45</v>
      </c>
      <c r="B478" s="1">
        <v>2019</v>
      </c>
      <c r="C478" s="1">
        <v>9</v>
      </c>
      <c r="D478" s="3">
        <v>189924</v>
      </c>
      <c r="E478" s="1">
        <v>133</v>
      </c>
    </row>
    <row r="479" spans="1:5" ht="23.1" customHeight="1">
      <c r="A479" s="1" t="s">
        <v>45</v>
      </c>
      <c r="B479" s="1">
        <v>2019</v>
      </c>
      <c r="C479" s="1">
        <v>10</v>
      </c>
      <c r="D479" s="3">
        <v>214225</v>
      </c>
      <c r="E479" s="1">
        <v>205</v>
      </c>
    </row>
    <row r="480" spans="1:5" ht="23.1" customHeight="1">
      <c r="A480" s="1" t="s">
        <v>45</v>
      </c>
      <c r="B480" s="1">
        <v>2019</v>
      </c>
      <c r="C480" s="1">
        <v>11</v>
      </c>
      <c r="D480" s="3">
        <v>246648</v>
      </c>
      <c r="E480" s="1">
        <v>239</v>
      </c>
    </row>
    <row r="481" spans="1:5" ht="23.1" customHeight="1">
      <c r="A481" s="1" t="s">
        <v>45</v>
      </c>
      <c r="B481" s="1">
        <v>2019</v>
      </c>
      <c r="C481" s="1">
        <v>12</v>
      </c>
      <c r="D481" s="3">
        <v>265481</v>
      </c>
      <c r="E481" s="1">
        <v>257</v>
      </c>
    </row>
    <row r="482" spans="1:5" ht="23.1" customHeight="1">
      <c r="A482" s="1" t="s">
        <v>48</v>
      </c>
      <c r="B482" s="1">
        <v>2018</v>
      </c>
      <c r="C482" s="1">
        <v>1</v>
      </c>
      <c r="D482" s="3">
        <v>155497</v>
      </c>
      <c r="E482" s="1">
        <v>131</v>
      </c>
    </row>
    <row r="483" spans="1:5" ht="23.1" customHeight="1">
      <c r="A483" s="1" t="s">
        <v>48</v>
      </c>
      <c r="B483" s="1">
        <v>2018</v>
      </c>
      <c r="C483" s="1">
        <v>2</v>
      </c>
      <c r="D483" s="3">
        <v>217413</v>
      </c>
      <c r="E483" s="1">
        <v>261</v>
      </c>
    </row>
    <row r="484" spans="1:5" ht="23.1" customHeight="1">
      <c r="A484" s="1" t="s">
        <v>48</v>
      </c>
      <c r="B484" s="1">
        <v>2018</v>
      </c>
      <c r="C484" s="1">
        <v>3</v>
      </c>
      <c r="D484" s="3">
        <v>157563</v>
      </c>
      <c r="E484" s="1">
        <v>123</v>
      </c>
    </row>
    <row r="485" spans="1:5" ht="23.1" customHeight="1">
      <c r="A485" s="1" t="s">
        <v>48</v>
      </c>
      <c r="B485" s="1">
        <v>2018</v>
      </c>
      <c r="C485" s="1">
        <v>4</v>
      </c>
      <c r="D485" s="3">
        <v>163584</v>
      </c>
      <c r="E485" s="1">
        <v>213</v>
      </c>
    </row>
    <row r="486" spans="1:5" ht="23.1" customHeight="1">
      <c r="A486" s="1" t="s">
        <v>48</v>
      </c>
      <c r="B486" s="1">
        <v>2018</v>
      </c>
      <c r="C486" s="1">
        <v>5</v>
      </c>
      <c r="D486" s="3">
        <v>172200</v>
      </c>
      <c r="E486" s="1">
        <v>123</v>
      </c>
    </row>
    <row r="487" spans="1:5" ht="23.1" customHeight="1">
      <c r="A487" s="1" t="s">
        <v>48</v>
      </c>
      <c r="B487" s="1">
        <v>2018</v>
      </c>
      <c r="C487" s="1">
        <v>6</v>
      </c>
      <c r="D487" s="3">
        <v>73216</v>
      </c>
      <c r="E487" s="1">
        <v>104</v>
      </c>
    </row>
    <row r="488" spans="1:5" ht="23.1" customHeight="1">
      <c r="A488" s="1" t="s">
        <v>48</v>
      </c>
      <c r="B488" s="1">
        <v>2018</v>
      </c>
      <c r="C488" s="1">
        <v>7</v>
      </c>
      <c r="D488" s="3">
        <v>329400</v>
      </c>
      <c r="E488" s="1">
        <v>244</v>
      </c>
    </row>
    <row r="489" spans="1:5" ht="23.1" customHeight="1">
      <c r="A489" s="1" t="s">
        <v>48</v>
      </c>
      <c r="B489" s="1">
        <v>2018</v>
      </c>
      <c r="C489" s="1">
        <v>8</v>
      </c>
      <c r="D489" s="3">
        <v>178030</v>
      </c>
      <c r="E489" s="1">
        <v>190</v>
      </c>
    </row>
    <row r="490" spans="1:5" ht="23.1" customHeight="1">
      <c r="A490" s="1" t="s">
        <v>48</v>
      </c>
      <c r="B490" s="1">
        <v>2018</v>
      </c>
      <c r="C490" s="1">
        <v>9</v>
      </c>
      <c r="D490" s="3">
        <v>323456</v>
      </c>
      <c r="E490" s="1">
        <v>266</v>
      </c>
    </row>
    <row r="491" spans="1:5" ht="23.1" customHeight="1">
      <c r="A491" s="1" t="s">
        <v>48</v>
      </c>
      <c r="B491" s="1">
        <v>2018</v>
      </c>
      <c r="C491" s="1">
        <v>10</v>
      </c>
      <c r="D491" s="3">
        <v>407190</v>
      </c>
      <c r="E491" s="1">
        <v>277</v>
      </c>
    </row>
    <row r="492" spans="1:5" ht="23.1" customHeight="1">
      <c r="A492" s="1" t="s">
        <v>48</v>
      </c>
      <c r="B492" s="1">
        <v>2018</v>
      </c>
      <c r="C492" s="1">
        <v>11</v>
      </c>
      <c r="D492" s="3">
        <v>172530</v>
      </c>
      <c r="E492" s="1">
        <v>142</v>
      </c>
    </row>
    <row r="493" spans="1:5" ht="23.1" customHeight="1">
      <c r="A493" s="1" t="s">
        <v>48</v>
      </c>
      <c r="B493" s="1">
        <v>2018</v>
      </c>
      <c r="C493" s="1">
        <v>12</v>
      </c>
      <c r="D493" s="3">
        <v>186600</v>
      </c>
      <c r="E493" s="1">
        <v>150</v>
      </c>
    </row>
    <row r="494" spans="1:5" ht="23.1" customHeight="1">
      <c r="A494" s="1" t="s">
        <v>48</v>
      </c>
      <c r="B494" s="1">
        <v>2019</v>
      </c>
      <c r="C494" s="1">
        <v>1</v>
      </c>
      <c r="D494" s="3">
        <v>169320</v>
      </c>
      <c r="E494" s="1">
        <v>136</v>
      </c>
    </row>
    <row r="495" spans="1:5" ht="23.1" customHeight="1">
      <c r="A495" s="1" t="s">
        <v>48</v>
      </c>
      <c r="B495" s="1">
        <v>2019</v>
      </c>
      <c r="C495" s="1">
        <v>2</v>
      </c>
      <c r="D495" s="3">
        <v>225582</v>
      </c>
      <c r="E495" s="1">
        <v>262</v>
      </c>
    </row>
    <row r="496" spans="1:5" ht="23.1" customHeight="1">
      <c r="A496" s="1" t="s">
        <v>48</v>
      </c>
      <c r="B496" s="1">
        <v>2019</v>
      </c>
      <c r="C496" s="1">
        <v>3</v>
      </c>
      <c r="D496" s="3">
        <v>159162</v>
      </c>
      <c r="E496" s="1">
        <v>123</v>
      </c>
    </row>
    <row r="497" spans="1:5" ht="23.1" customHeight="1">
      <c r="A497" s="1" t="s">
        <v>48</v>
      </c>
      <c r="B497" s="1">
        <v>2019</v>
      </c>
      <c r="C497" s="1">
        <v>4</v>
      </c>
      <c r="D497" s="3">
        <v>172822</v>
      </c>
      <c r="E497" s="1">
        <v>221</v>
      </c>
    </row>
    <row r="498" spans="1:5" ht="23.1" customHeight="1">
      <c r="A498" s="1" t="s">
        <v>48</v>
      </c>
      <c r="B498" s="1">
        <v>2019</v>
      </c>
      <c r="C498" s="1">
        <v>5</v>
      </c>
      <c r="D498" s="3">
        <v>175000</v>
      </c>
      <c r="E498" s="1">
        <v>125</v>
      </c>
    </row>
    <row r="499" spans="1:5" ht="23.1" customHeight="1">
      <c r="A499" s="1" t="s">
        <v>48</v>
      </c>
      <c r="B499" s="1">
        <v>2019</v>
      </c>
      <c r="C499" s="1">
        <v>6</v>
      </c>
      <c r="D499" s="3">
        <v>77175</v>
      </c>
      <c r="E499" s="1">
        <v>105</v>
      </c>
    </row>
    <row r="500" spans="1:5" ht="23.1" customHeight="1">
      <c r="A500" s="1" t="s">
        <v>48</v>
      </c>
      <c r="B500" s="1">
        <v>2019</v>
      </c>
      <c r="C500" s="1">
        <v>7</v>
      </c>
      <c r="D500" s="3">
        <v>340366</v>
      </c>
      <c r="E500" s="1">
        <v>247</v>
      </c>
    </row>
    <row r="501" spans="1:5" ht="23.1" customHeight="1">
      <c r="A501" s="1" t="s">
        <v>48</v>
      </c>
      <c r="B501" s="1">
        <v>2019</v>
      </c>
      <c r="C501" s="1">
        <v>8</v>
      </c>
      <c r="D501" s="3">
        <v>192035</v>
      </c>
      <c r="E501" s="1">
        <v>199</v>
      </c>
    </row>
    <row r="502" spans="1:5" ht="23.1" customHeight="1">
      <c r="A502" s="1" t="s">
        <v>48</v>
      </c>
      <c r="B502" s="1">
        <v>2019</v>
      </c>
      <c r="C502" s="1">
        <v>9</v>
      </c>
      <c r="D502" s="3">
        <v>353729</v>
      </c>
      <c r="E502" s="1">
        <v>277</v>
      </c>
    </row>
    <row r="503" spans="1:5" ht="23.1" customHeight="1">
      <c r="A503" s="1" t="s">
        <v>48</v>
      </c>
      <c r="B503" s="1">
        <v>2019</v>
      </c>
      <c r="C503" s="1">
        <v>10</v>
      </c>
      <c r="D503" s="3">
        <v>424480</v>
      </c>
      <c r="E503" s="1">
        <v>280</v>
      </c>
    </row>
    <row r="504" spans="1:5" ht="23.1" customHeight="1">
      <c r="A504" s="1" t="s">
        <v>48</v>
      </c>
      <c r="B504" s="1">
        <v>2019</v>
      </c>
      <c r="C504" s="1">
        <v>11</v>
      </c>
      <c r="D504" s="3">
        <v>185367</v>
      </c>
      <c r="E504" s="1">
        <v>147</v>
      </c>
    </row>
    <row r="505" spans="1:5" ht="23.1" customHeight="1">
      <c r="A505" s="1" t="s">
        <v>48</v>
      </c>
      <c r="B505" s="1">
        <v>2019</v>
      </c>
      <c r="C505" s="1">
        <v>12</v>
      </c>
      <c r="D505" s="3">
        <v>198900</v>
      </c>
      <c r="E505" s="1">
        <v>153</v>
      </c>
    </row>
    <row r="506" spans="1:5" ht="23.1" customHeight="1">
      <c r="A506" s="1" t="s">
        <v>50</v>
      </c>
      <c r="B506" s="1">
        <v>2018</v>
      </c>
      <c r="C506" s="1">
        <v>1</v>
      </c>
      <c r="D506" s="3">
        <v>243045</v>
      </c>
      <c r="E506" s="1">
        <v>165</v>
      </c>
    </row>
    <row r="507" spans="1:5" ht="23.1" customHeight="1">
      <c r="A507" s="1" t="s">
        <v>50</v>
      </c>
      <c r="B507" s="1">
        <v>2018</v>
      </c>
      <c r="C507" s="1">
        <v>2</v>
      </c>
      <c r="D507" s="3">
        <v>225000</v>
      </c>
      <c r="E507" s="1">
        <v>180</v>
      </c>
    </row>
    <row r="508" spans="1:5" ht="23.1" customHeight="1">
      <c r="A508" s="1" t="s">
        <v>50</v>
      </c>
      <c r="B508" s="1">
        <v>2018</v>
      </c>
      <c r="C508" s="1">
        <v>3</v>
      </c>
      <c r="D508" s="3">
        <v>267269</v>
      </c>
      <c r="E508" s="1">
        <v>241</v>
      </c>
    </row>
    <row r="509" spans="1:5" ht="23.1" customHeight="1">
      <c r="A509" s="1" t="s">
        <v>50</v>
      </c>
      <c r="B509" s="1">
        <v>2018</v>
      </c>
      <c r="C509" s="1">
        <v>4</v>
      </c>
      <c r="D509" s="3">
        <v>101400</v>
      </c>
      <c r="E509" s="1">
        <v>120</v>
      </c>
    </row>
    <row r="510" spans="1:5" ht="23.1" customHeight="1">
      <c r="A510" s="1" t="s">
        <v>50</v>
      </c>
      <c r="B510" s="1">
        <v>2018</v>
      </c>
      <c r="C510" s="1">
        <v>5</v>
      </c>
      <c r="D510" s="3">
        <v>182286</v>
      </c>
      <c r="E510" s="1">
        <v>247</v>
      </c>
    </row>
    <row r="511" spans="1:5" ht="23.1" customHeight="1">
      <c r="A511" s="1" t="s">
        <v>50</v>
      </c>
      <c r="B511" s="1">
        <v>2018</v>
      </c>
      <c r="C511" s="1">
        <v>6</v>
      </c>
      <c r="D511" s="3">
        <v>92510</v>
      </c>
      <c r="E511" s="1">
        <v>110</v>
      </c>
    </row>
    <row r="512" spans="1:5" ht="23.1" customHeight="1">
      <c r="A512" s="1" t="s">
        <v>50</v>
      </c>
      <c r="B512" s="1">
        <v>2018</v>
      </c>
      <c r="C512" s="1">
        <v>7</v>
      </c>
      <c r="D512" s="3">
        <v>108014</v>
      </c>
      <c r="E512" s="1">
        <v>106</v>
      </c>
    </row>
    <row r="513" spans="1:5" ht="23.1" customHeight="1">
      <c r="A513" s="1" t="s">
        <v>50</v>
      </c>
      <c r="B513" s="1">
        <v>2018</v>
      </c>
      <c r="C513" s="1">
        <v>8</v>
      </c>
      <c r="D513" s="3">
        <v>220572</v>
      </c>
      <c r="E513" s="1">
        <v>198</v>
      </c>
    </row>
    <row r="514" spans="1:5" ht="23.1" customHeight="1">
      <c r="A514" s="1" t="s">
        <v>50</v>
      </c>
      <c r="B514" s="1">
        <v>2018</v>
      </c>
      <c r="C514" s="1">
        <v>9</v>
      </c>
      <c r="D514" s="3">
        <v>115374</v>
      </c>
      <c r="E514" s="1">
        <v>123</v>
      </c>
    </row>
    <row r="515" spans="1:5" ht="23.1" customHeight="1">
      <c r="A515" s="1" t="s">
        <v>50</v>
      </c>
      <c r="B515" s="1">
        <v>2018</v>
      </c>
      <c r="C515" s="1">
        <v>10</v>
      </c>
      <c r="D515" s="3">
        <v>189726</v>
      </c>
      <c r="E515" s="1">
        <v>206</v>
      </c>
    </row>
    <row r="516" spans="1:5" ht="23.1" customHeight="1">
      <c r="A516" s="1" t="s">
        <v>50</v>
      </c>
      <c r="B516" s="1">
        <v>2018</v>
      </c>
      <c r="C516" s="1">
        <v>11</v>
      </c>
      <c r="D516" s="3">
        <v>276592</v>
      </c>
      <c r="E516" s="1">
        <v>293</v>
      </c>
    </row>
    <row r="517" spans="1:5" ht="23.1" customHeight="1">
      <c r="A517" s="1" t="s">
        <v>50</v>
      </c>
      <c r="B517" s="1">
        <v>2018</v>
      </c>
      <c r="C517" s="1">
        <v>12</v>
      </c>
      <c r="D517" s="3">
        <v>208980</v>
      </c>
      <c r="E517" s="1">
        <v>162</v>
      </c>
    </row>
    <row r="518" spans="1:5" ht="23.1" customHeight="1">
      <c r="A518" s="1" t="s">
        <v>50</v>
      </c>
      <c r="B518" s="1">
        <v>2019</v>
      </c>
      <c r="C518" s="1">
        <v>1</v>
      </c>
      <c r="D518" s="3">
        <v>257894</v>
      </c>
      <c r="E518" s="1">
        <v>169</v>
      </c>
    </row>
    <row r="519" spans="1:5" ht="23.1" customHeight="1">
      <c r="A519" s="1" t="s">
        <v>50</v>
      </c>
      <c r="B519" s="1">
        <v>2019</v>
      </c>
      <c r="C519" s="1">
        <v>2</v>
      </c>
      <c r="D519" s="3">
        <v>237168</v>
      </c>
      <c r="E519" s="1">
        <v>183</v>
      </c>
    </row>
    <row r="520" spans="1:5" ht="23.1" customHeight="1">
      <c r="A520" s="1" t="s">
        <v>50</v>
      </c>
      <c r="B520" s="1">
        <v>2019</v>
      </c>
      <c r="C520" s="1">
        <v>3</v>
      </c>
      <c r="D520" s="3">
        <v>284016</v>
      </c>
      <c r="E520" s="1">
        <v>244</v>
      </c>
    </row>
    <row r="521" spans="1:5" ht="23.1" customHeight="1">
      <c r="A521" s="1" t="s">
        <v>50</v>
      </c>
      <c r="B521" s="1">
        <v>2019</v>
      </c>
      <c r="C521" s="1">
        <v>4</v>
      </c>
      <c r="D521" s="3">
        <v>105149</v>
      </c>
      <c r="E521" s="1">
        <v>121</v>
      </c>
    </row>
    <row r="522" spans="1:5" ht="23.1" customHeight="1">
      <c r="A522" s="1" t="s">
        <v>50</v>
      </c>
      <c r="B522" s="1">
        <v>2019</v>
      </c>
      <c r="C522" s="1">
        <v>5</v>
      </c>
      <c r="D522" s="3">
        <v>192015</v>
      </c>
      <c r="E522" s="1">
        <v>251</v>
      </c>
    </row>
    <row r="523" spans="1:5" ht="23.1" customHeight="1">
      <c r="A523" s="1" t="s">
        <v>50</v>
      </c>
      <c r="B523" s="1">
        <v>2019</v>
      </c>
      <c r="C523" s="1">
        <v>6</v>
      </c>
      <c r="D523" s="3">
        <v>95598</v>
      </c>
      <c r="E523" s="1">
        <v>113</v>
      </c>
    </row>
    <row r="524" spans="1:5" ht="23.1" customHeight="1">
      <c r="A524" s="1" t="s">
        <v>50</v>
      </c>
      <c r="B524" s="1">
        <v>2019</v>
      </c>
      <c r="C524" s="1">
        <v>7</v>
      </c>
      <c r="D524" s="3">
        <v>118770</v>
      </c>
      <c r="E524" s="1">
        <v>111</v>
      </c>
    </row>
    <row r="525" spans="1:5" ht="23.1" customHeight="1">
      <c r="A525" s="1" t="s">
        <v>50</v>
      </c>
      <c r="B525" s="1">
        <v>2019</v>
      </c>
      <c r="C525" s="1">
        <v>8</v>
      </c>
      <c r="D525" s="3">
        <v>227457</v>
      </c>
      <c r="E525" s="1">
        <v>199</v>
      </c>
    </row>
    <row r="526" spans="1:5" ht="23.1" customHeight="1">
      <c r="A526" s="1" t="s">
        <v>50</v>
      </c>
      <c r="B526" s="1">
        <v>2019</v>
      </c>
      <c r="C526" s="1">
        <v>9</v>
      </c>
      <c r="D526" s="3">
        <v>121520</v>
      </c>
      <c r="E526" s="1">
        <v>124</v>
      </c>
    </row>
    <row r="527" spans="1:5" ht="23.1" customHeight="1">
      <c r="A527" s="1" t="s">
        <v>50</v>
      </c>
      <c r="B527" s="1">
        <v>2019</v>
      </c>
      <c r="C527" s="1">
        <v>10</v>
      </c>
      <c r="D527" s="3">
        <v>202350</v>
      </c>
      <c r="E527" s="1">
        <v>213</v>
      </c>
    </row>
    <row r="528" spans="1:5" ht="23.1" customHeight="1">
      <c r="A528" s="1" t="s">
        <v>50</v>
      </c>
      <c r="B528" s="1">
        <v>2019</v>
      </c>
      <c r="C528" s="1">
        <v>11</v>
      </c>
      <c r="D528" s="3">
        <v>295054</v>
      </c>
      <c r="E528" s="1">
        <v>302</v>
      </c>
    </row>
    <row r="529" spans="1:5" ht="23.1" customHeight="1">
      <c r="A529" s="1" t="s">
        <v>50</v>
      </c>
      <c r="B529" s="1">
        <v>2019</v>
      </c>
      <c r="C529" s="1">
        <v>12</v>
      </c>
      <c r="D529" s="3">
        <v>218420</v>
      </c>
      <c r="E529" s="1">
        <v>163</v>
      </c>
    </row>
    <row r="530" spans="1:5" ht="23.1" customHeight="1">
      <c r="A530" s="1" t="s">
        <v>39</v>
      </c>
      <c r="B530" s="1">
        <v>2018</v>
      </c>
      <c r="C530" s="1">
        <v>1</v>
      </c>
      <c r="D530" s="3">
        <v>441632</v>
      </c>
      <c r="E530" s="1">
        <v>296</v>
      </c>
    </row>
    <row r="531" spans="1:5" ht="23.1" customHeight="1">
      <c r="A531" s="1" t="s">
        <v>39</v>
      </c>
      <c r="B531" s="1">
        <v>2018</v>
      </c>
      <c r="C531" s="1">
        <v>2</v>
      </c>
      <c r="D531" s="3">
        <v>92769</v>
      </c>
      <c r="E531" s="1">
        <v>107</v>
      </c>
    </row>
    <row r="532" spans="1:5" ht="23.1" customHeight="1">
      <c r="A532" s="1" t="s">
        <v>39</v>
      </c>
      <c r="B532" s="1">
        <v>2018</v>
      </c>
      <c r="C532" s="1">
        <v>3</v>
      </c>
      <c r="D532" s="3">
        <v>221704</v>
      </c>
      <c r="E532" s="1">
        <v>148</v>
      </c>
    </row>
    <row r="533" spans="1:5" ht="23.1" customHeight="1">
      <c r="A533" s="1" t="s">
        <v>39</v>
      </c>
      <c r="B533" s="1">
        <v>2018</v>
      </c>
      <c r="C533" s="1">
        <v>4</v>
      </c>
      <c r="D533" s="3">
        <v>433054</v>
      </c>
      <c r="E533" s="1">
        <v>293</v>
      </c>
    </row>
    <row r="534" spans="1:5" ht="23.1" customHeight="1">
      <c r="A534" s="1" t="s">
        <v>39</v>
      </c>
      <c r="B534" s="1">
        <v>2018</v>
      </c>
      <c r="C534" s="1">
        <v>5</v>
      </c>
      <c r="D534" s="3">
        <v>349566</v>
      </c>
      <c r="E534" s="1">
        <v>287</v>
      </c>
    </row>
    <row r="535" spans="1:5" ht="23.1" customHeight="1">
      <c r="A535" s="1" t="s">
        <v>39</v>
      </c>
      <c r="B535" s="1">
        <v>2018</v>
      </c>
      <c r="C535" s="1">
        <v>6</v>
      </c>
      <c r="D535" s="3">
        <v>334434</v>
      </c>
      <c r="E535" s="1">
        <v>278</v>
      </c>
    </row>
    <row r="536" spans="1:5" ht="23.1" customHeight="1">
      <c r="A536" s="1" t="s">
        <v>39</v>
      </c>
      <c r="B536" s="1">
        <v>2018</v>
      </c>
      <c r="C536" s="1">
        <v>7</v>
      </c>
      <c r="D536" s="3">
        <v>115800</v>
      </c>
      <c r="E536" s="1">
        <v>120</v>
      </c>
    </row>
    <row r="537" spans="1:5" ht="23.1" customHeight="1">
      <c r="A537" s="1" t="s">
        <v>39</v>
      </c>
      <c r="B537" s="1">
        <v>2018</v>
      </c>
      <c r="C537" s="1">
        <v>8</v>
      </c>
      <c r="D537" s="3">
        <v>190869</v>
      </c>
      <c r="E537" s="1">
        <v>149</v>
      </c>
    </row>
    <row r="538" spans="1:5" ht="23.1" customHeight="1">
      <c r="A538" s="1" t="s">
        <v>39</v>
      </c>
      <c r="B538" s="1">
        <v>2018</v>
      </c>
      <c r="C538" s="1">
        <v>9</v>
      </c>
      <c r="D538" s="3">
        <v>391104</v>
      </c>
      <c r="E538" s="1">
        <v>288</v>
      </c>
    </row>
    <row r="539" spans="1:5" ht="23.1" customHeight="1">
      <c r="A539" s="1" t="s">
        <v>39</v>
      </c>
      <c r="B539" s="1">
        <v>2018</v>
      </c>
      <c r="C539" s="1">
        <v>10</v>
      </c>
      <c r="D539" s="3">
        <v>101632</v>
      </c>
      <c r="E539" s="1">
        <v>128</v>
      </c>
    </row>
    <row r="540" spans="1:5" ht="23.1" customHeight="1">
      <c r="A540" s="1" t="s">
        <v>39</v>
      </c>
      <c r="B540" s="1">
        <v>2018</v>
      </c>
      <c r="C540" s="1">
        <v>11</v>
      </c>
      <c r="D540" s="3">
        <v>299052</v>
      </c>
      <c r="E540" s="1">
        <v>213</v>
      </c>
    </row>
    <row r="541" spans="1:5" ht="23.1" customHeight="1">
      <c r="A541" s="1" t="s">
        <v>39</v>
      </c>
      <c r="B541" s="1">
        <v>2018</v>
      </c>
      <c r="C541" s="1">
        <v>12</v>
      </c>
      <c r="D541" s="3">
        <v>191436</v>
      </c>
      <c r="E541" s="1">
        <v>258</v>
      </c>
    </row>
    <row r="542" spans="1:5" ht="23.1" customHeight="1">
      <c r="A542" s="1" t="s">
        <v>39</v>
      </c>
      <c r="B542" s="1">
        <v>2019</v>
      </c>
      <c r="C542" s="1">
        <v>1</v>
      </c>
      <c r="D542" s="3">
        <v>451143</v>
      </c>
      <c r="E542" s="1">
        <v>297</v>
      </c>
    </row>
    <row r="543" spans="1:5" ht="23.1" customHeight="1">
      <c r="A543" s="1" t="s">
        <v>39</v>
      </c>
      <c r="B543" s="1">
        <v>2019</v>
      </c>
      <c r="C543" s="1">
        <v>2</v>
      </c>
      <c r="D543" s="3">
        <v>100788</v>
      </c>
      <c r="E543" s="1">
        <v>111</v>
      </c>
    </row>
    <row r="544" spans="1:5" ht="23.1" customHeight="1">
      <c r="A544" s="1" t="s">
        <v>39</v>
      </c>
      <c r="B544" s="1">
        <v>2019</v>
      </c>
      <c r="C544" s="1">
        <v>3</v>
      </c>
      <c r="D544" s="3">
        <v>230584</v>
      </c>
      <c r="E544" s="1">
        <v>152</v>
      </c>
    </row>
    <row r="545" spans="1:5" ht="23.1" customHeight="1">
      <c r="A545" s="1" t="s">
        <v>39</v>
      </c>
      <c r="B545" s="1">
        <v>2019</v>
      </c>
      <c r="C545" s="1">
        <v>4</v>
      </c>
      <c r="D545" s="3">
        <v>464443</v>
      </c>
      <c r="E545" s="1">
        <v>301</v>
      </c>
    </row>
    <row r="546" spans="1:5" ht="23.1" customHeight="1">
      <c r="A546" s="1" t="s">
        <v>39</v>
      </c>
      <c r="B546" s="1">
        <v>2019</v>
      </c>
      <c r="C546" s="1">
        <v>5</v>
      </c>
      <c r="D546" s="3">
        <v>376852</v>
      </c>
      <c r="E546" s="1">
        <v>301</v>
      </c>
    </row>
    <row r="547" spans="1:5" ht="23.1" customHeight="1">
      <c r="A547" s="1" t="s">
        <v>39</v>
      </c>
      <c r="B547" s="1">
        <v>2019</v>
      </c>
      <c r="C547" s="1">
        <v>6</v>
      </c>
      <c r="D547" s="3">
        <v>356863</v>
      </c>
      <c r="E547" s="1">
        <v>283</v>
      </c>
    </row>
    <row r="548" spans="1:5" ht="23.1" customHeight="1">
      <c r="A548" s="1" t="s">
        <v>39</v>
      </c>
      <c r="B548" s="1">
        <v>2019</v>
      </c>
      <c r="C548" s="1">
        <v>7</v>
      </c>
      <c r="D548" s="3">
        <v>120240</v>
      </c>
      <c r="E548" s="1">
        <v>120</v>
      </c>
    </row>
    <row r="549" spans="1:5" ht="23.1" customHeight="1">
      <c r="A549" s="1" t="s">
        <v>39</v>
      </c>
      <c r="B549" s="1">
        <v>2019</v>
      </c>
      <c r="C549" s="1">
        <v>8</v>
      </c>
      <c r="D549" s="3">
        <v>196200</v>
      </c>
      <c r="E549" s="1">
        <v>150</v>
      </c>
    </row>
    <row r="550" spans="1:5" ht="23.1" customHeight="1">
      <c r="A550" s="1" t="s">
        <v>39</v>
      </c>
      <c r="B550" s="1">
        <v>2019</v>
      </c>
      <c r="C550" s="1">
        <v>9</v>
      </c>
      <c r="D550" s="3">
        <v>404420</v>
      </c>
      <c r="E550" s="1">
        <v>292</v>
      </c>
    </row>
    <row r="551" spans="1:5" ht="23.1" customHeight="1">
      <c r="A551" s="1" t="s">
        <v>39</v>
      </c>
      <c r="B551" s="1">
        <v>2019</v>
      </c>
      <c r="C551" s="1">
        <v>10</v>
      </c>
      <c r="D551" s="3">
        <v>109344</v>
      </c>
      <c r="E551" s="1">
        <v>134</v>
      </c>
    </row>
    <row r="552" spans="1:5" ht="23.1" customHeight="1">
      <c r="A552" s="1" t="s">
        <v>39</v>
      </c>
      <c r="B552" s="1">
        <v>2019</v>
      </c>
      <c r="C552" s="1">
        <v>11</v>
      </c>
      <c r="D552" s="3">
        <v>316536</v>
      </c>
      <c r="E552" s="1">
        <v>218</v>
      </c>
    </row>
    <row r="553" spans="1:5" ht="23.1" customHeight="1">
      <c r="A553" s="1" t="s">
        <v>39</v>
      </c>
      <c r="B553" s="1">
        <v>2019</v>
      </c>
      <c r="C553" s="1">
        <v>12</v>
      </c>
      <c r="D553" s="3">
        <v>197055</v>
      </c>
      <c r="E553" s="1">
        <v>261</v>
      </c>
    </row>
    <row r="554" spans="1:5" ht="23.1" customHeight="1">
      <c r="A554" s="1" t="s">
        <v>49</v>
      </c>
      <c r="B554" s="1">
        <v>2018</v>
      </c>
      <c r="C554" s="1">
        <v>1</v>
      </c>
      <c r="D554" s="3">
        <v>288420</v>
      </c>
      <c r="E554" s="1">
        <v>220</v>
      </c>
    </row>
    <row r="555" spans="1:5" ht="23.1" customHeight="1">
      <c r="A555" s="1" t="s">
        <v>49</v>
      </c>
      <c r="B555" s="1">
        <v>2018</v>
      </c>
      <c r="C555" s="1">
        <v>2</v>
      </c>
      <c r="D555" s="3">
        <v>247652</v>
      </c>
      <c r="E555" s="1">
        <v>202</v>
      </c>
    </row>
    <row r="556" spans="1:5" ht="23.1" customHeight="1">
      <c r="A556" s="1" t="s">
        <v>49</v>
      </c>
      <c r="B556" s="1">
        <v>2018</v>
      </c>
      <c r="C556" s="1">
        <v>3</v>
      </c>
      <c r="D556" s="3">
        <v>157886</v>
      </c>
      <c r="E556" s="1">
        <v>178</v>
      </c>
    </row>
    <row r="557" spans="1:5" ht="23.1" customHeight="1">
      <c r="A557" s="1" t="s">
        <v>49</v>
      </c>
      <c r="B557" s="1">
        <v>2018</v>
      </c>
      <c r="C557" s="1">
        <v>4</v>
      </c>
      <c r="D557" s="3">
        <v>345015</v>
      </c>
      <c r="E557" s="1">
        <v>255</v>
      </c>
    </row>
    <row r="558" spans="1:5" ht="23.1" customHeight="1">
      <c r="A558" s="1" t="s">
        <v>49</v>
      </c>
      <c r="B558" s="1">
        <v>2018</v>
      </c>
      <c r="C558" s="1">
        <v>5</v>
      </c>
      <c r="D558" s="3">
        <v>175392</v>
      </c>
      <c r="E558" s="1">
        <v>224</v>
      </c>
    </row>
    <row r="559" spans="1:5" ht="23.1" customHeight="1">
      <c r="A559" s="1" t="s">
        <v>49</v>
      </c>
      <c r="B559" s="1">
        <v>2018</v>
      </c>
      <c r="C559" s="1">
        <v>6</v>
      </c>
      <c r="D559" s="3">
        <v>212580</v>
      </c>
      <c r="E559" s="1">
        <v>180</v>
      </c>
    </row>
    <row r="560" spans="1:5" ht="23.1" customHeight="1">
      <c r="A560" s="1" t="s">
        <v>49</v>
      </c>
      <c r="B560" s="1">
        <v>2018</v>
      </c>
      <c r="C560" s="1">
        <v>7</v>
      </c>
      <c r="D560" s="3">
        <v>82416</v>
      </c>
      <c r="E560" s="1">
        <v>101</v>
      </c>
    </row>
    <row r="561" spans="1:5" ht="23.1" customHeight="1">
      <c r="A561" s="1" t="s">
        <v>49</v>
      </c>
      <c r="B561" s="1">
        <v>2018</v>
      </c>
      <c r="C561" s="1">
        <v>8</v>
      </c>
      <c r="D561" s="3">
        <v>114000</v>
      </c>
      <c r="E561" s="1">
        <v>100</v>
      </c>
    </row>
    <row r="562" spans="1:5" ht="23.1" customHeight="1">
      <c r="A562" s="1" t="s">
        <v>49</v>
      </c>
      <c r="B562" s="1">
        <v>2018</v>
      </c>
      <c r="C562" s="1">
        <v>9</v>
      </c>
      <c r="D562" s="3">
        <v>200832</v>
      </c>
      <c r="E562" s="1">
        <v>192</v>
      </c>
    </row>
    <row r="563" spans="1:5" ht="23.1" customHeight="1">
      <c r="A563" s="1" t="s">
        <v>49</v>
      </c>
      <c r="B563" s="1">
        <v>2018</v>
      </c>
      <c r="C563" s="1">
        <v>10</v>
      </c>
      <c r="D563" s="3">
        <v>202370</v>
      </c>
      <c r="E563" s="1">
        <v>245</v>
      </c>
    </row>
    <row r="564" spans="1:5" ht="23.1" customHeight="1">
      <c r="A564" s="1" t="s">
        <v>49</v>
      </c>
      <c r="B564" s="1">
        <v>2018</v>
      </c>
      <c r="C564" s="1">
        <v>11</v>
      </c>
      <c r="D564" s="3">
        <v>94930</v>
      </c>
      <c r="E564" s="1">
        <v>110</v>
      </c>
    </row>
    <row r="565" spans="1:5" ht="23.1" customHeight="1">
      <c r="A565" s="1" t="s">
        <v>49</v>
      </c>
      <c r="B565" s="1">
        <v>2018</v>
      </c>
      <c r="C565" s="1">
        <v>12</v>
      </c>
      <c r="D565" s="3">
        <v>261542</v>
      </c>
      <c r="E565" s="1">
        <v>251</v>
      </c>
    </row>
    <row r="566" spans="1:5" ht="23.1" customHeight="1">
      <c r="A566" s="1" t="s">
        <v>49</v>
      </c>
      <c r="B566" s="1">
        <v>2019</v>
      </c>
      <c r="C566" s="1">
        <v>1</v>
      </c>
      <c r="D566" s="3">
        <v>310750</v>
      </c>
      <c r="E566" s="1">
        <v>226</v>
      </c>
    </row>
    <row r="567" spans="1:5" ht="23.1" customHeight="1">
      <c r="A567" s="1" t="s">
        <v>49</v>
      </c>
      <c r="B567" s="1">
        <v>2019</v>
      </c>
      <c r="C567" s="1">
        <v>2</v>
      </c>
      <c r="D567" s="3">
        <v>261648</v>
      </c>
      <c r="E567" s="1">
        <v>207</v>
      </c>
    </row>
    <row r="568" spans="1:5" ht="23.1" customHeight="1">
      <c r="A568" s="1" t="s">
        <v>49</v>
      </c>
      <c r="B568" s="1">
        <v>2019</v>
      </c>
      <c r="C568" s="1">
        <v>3</v>
      </c>
      <c r="D568" s="3">
        <v>166520</v>
      </c>
      <c r="E568" s="1">
        <v>181</v>
      </c>
    </row>
    <row r="569" spans="1:5" ht="23.1" customHeight="1">
      <c r="A569" s="1" t="s">
        <v>49</v>
      </c>
      <c r="B569" s="1">
        <v>2019</v>
      </c>
      <c r="C569" s="1">
        <v>4</v>
      </c>
      <c r="D569" s="3">
        <v>376035</v>
      </c>
      <c r="E569" s="1">
        <v>265</v>
      </c>
    </row>
    <row r="570" spans="1:5" ht="23.1" customHeight="1">
      <c r="A570" s="1" t="s">
        <v>49</v>
      </c>
      <c r="B570" s="1">
        <v>2019</v>
      </c>
      <c r="C570" s="1">
        <v>5</v>
      </c>
      <c r="D570" s="3">
        <v>183768</v>
      </c>
      <c r="E570" s="1">
        <v>228</v>
      </c>
    </row>
    <row r="571" spans="1:5" ht="23.1" customHeight="1">
      <c r="A571" s="1" t="s">
        <v>49</v>
      </c>
      <c r="B571" s="1">
        <v>2019</v>
      </c>
      <c r="C571" s="1">
        <v>6</v>
      </c>
      <c r="D571" s="3">
        <v>221260</v>
      </c>
      <c r="E571" s="1">
        <v>185</v>
      </c>
    </row>
    <row r="572" spans="1:5" ht="23.1" customHeight="1">
      <c r="A572" s="1" t="s">
        <v>49</v>
      </c>
      <c r="B572" s="1">
        <v>2019</v>
      </c>
      <c r="C572" s="1">
        <v>7</v>
      </c>
      <c r="D572" s="3">
        <v>89252</v>
      </c>
      <c r="E572" s="1">
        <v>106</v>
      </c>
    </row>
    <row r="573" spans="1:5" ht="23.1" customHeight="1">
      <c r="A573" s="1" t="s">
        <v>49</v>
      </c>
      <c r="B573" s="1">
        <v>2019</v>
      </c>
      <c r="C573" s="1">
        <v>8</v>
      </c>
      <c r="D573" s="3">
        <v>115600</v>
      </c>
      <c r="E573" s="1">
        <v>100</v>
      </c>
    </row>
    <row r="574" spans="1:5" ht="23.1" customHeight="1">
      <c r="A574" s="1" t="s">
        <v>49</v>
      </c>
      <c r="B574" s="1">
        <v>2019</v>
      </c>
      <c r="C574" s="1">
        <v>9</v>
      </c>
      <c r="D574" s="3">
        <v>207580</v>
      </c>
      <c r="E574" s="1">
        <v>194</v>
      </c>
    </row>
    <row r="575" spans="1:5" ht="23.1" customHeight="1">
      <c r="A575" s="1" t="s">
        <v>49</v>
      </c>
      <c r="B575" s="1">
        <v>2019</v>
      </c>
      <c r="C575" s="1">
        <v>10</v>
      </c>
      <c r="D575" s="3">
        <v>207577</v>
      </c>
      <c r="E575" s="1">
        <v>251</v>
      </c>
    </row>
    <row r="576" spans="1:5" ht="23.1" customHeight="1">
      <c r="A576" s="1" t="s">
        <v>49</v>
      </c>
      <c r="B576" s="1">
        <v>2019</v>
      </c>
      <c r="C576" s="1">
        <v>11</v>
      </c>
      <c r="D576" s="3">
        <v>101022</v>
      </c>
      <c r="E576" s="1">
        <v>113</v>
      </c>
    </row>
    <row r="577" spans="1:5" ht="23.1" customHeight="1">
      <c r="A577" s="1" t="s">
        <v>49</v>
      </c>
      <c r="B577" s="1">
        <v>2019</v>
      </c>
      <c r="C577" s="1">
        <v>12</v>
      </c>
      <c r="D577" s="3">
        <v>271526</v>
      </c>
      <c r="E577" s="1">
        <v>254</v>
      </c>
    </row>
    <row r="578" spans="1:5" ht="23.1" customHeight="1">
      <c r="A578" s="1" t="s">
        <v>33</v>
      </c>
      <c r="B578" s="1">
        <v>2018</v>
      </c>
      <c r="C578" s="1">
        <v>1</v>
      </c>
      <c r="D578" s="3">
        <v>128232</v>
      </c>
      <c r="E578" s="1">
        <v>117</v>
      </c>
    </row>
    <row r="579" spans="1:5" ht="23.1" customHeight="1">
      <c r="A579" s="1" t="s">
        <v>33</v>
      </c>
      <c r="B579" s="1">
        <v>2018</v>
      </c>
      <c r="C579" s="1">
        <v>2</v>
      </c>
      <c r="D579" s="3">
        <v>182500</v>
      </c>
      <c r="E579" s="1">
        <v>125</v>
      </c>
    </row>
    <row r="580" spans="1:5" ht="23.1" customHeight="1">
      <c r="A580" s="1" t="s">
        <v>33</v>
      </c>
      <c r="B580" s="1">
        <v>2018</v>
      </c>
      <c r="C580" s="1">
        <v>3</v>
      </c>
      <c r="D580" s="3">
        <v>399312</v>
      </c>
      <c r="E580" s="1">
        <v>282</v>
      </c>
    </row>
    <row r="581" spans="1:5" ht="23.1" customHeight="1">
      <c r="A581" s="1" t="s">
        <v>33</v>
      </c>
      <c r="B581" s="1">
        <v>2018</v>
      </c>
      <c r="C581" s="1">
        <v>4</v>
      </c>
      <c r="D581" s="3">
        <v>166692</v>
      </c>
      <c r="E581" s="1">
        <v>116</v>
      </c>
    </row>
    <row r="582" spans="1:5" ht="23.1" customHeight="1">
      <c r="A582" s="1" t="s">
        <v>33</v>
      </c>
      <c r="B582" s="1">
        <v>2018</v>
      </c>
      <c r="C582" s="1">
        <v>5</v>
      </c>
      <c r="D582" s="3">
        <v>292383</v>
      </c>
      <c r="E582" s="1">
        <v>221</v>
      </c>
    </row>
    <row r="583" spans="1:5" ht="23.1" customHeight="1">
      <c r="A583" s="1" t="s">
        <v>33</v>
      </c>
      <c r="B583" s="1">
        <v>2018</v>
      </c>
      <c r="C583" s="1">
        <v>6</v>
      </c>
      <c r="D583" s="3">
        <v>173070</v>
      </c>
      <c r="E583" s="1">
        <v>135</v>
      </c>
    </row>
    <row r="584" spans="1:5" ht="23.1" customHeight="1">
      <c r="A584" s="1" t="s">
        <v>33</v>
      </c>
      <c r="B584" s="1">
        <v>2018</v>
      </c>
      <c r="C584" s="1">
        <v>7</v>
      </c>
      <c r="D584" s="3">
        <v>253935</v>
      </c>
      <c r="E584" s="1">
        <v>297</v>
      </c>
    </row>
    <row r="585" spans="1:5" ht="23.1" customHeight="1">
      <c r="A585" s="1" t="s">
        <v>33</v>
      </c>
      <c r="B585" s="1">
        <v>2018</v>
      </c>
      <c r="C585" s="1">
        <v>8</v>
      </c>
      <c r="D585" s="3">
        <v>299208</v>
      </c>
      <c r="E585" s="1">
        <v>273</v>
      </c>
    </row>
    <row r="586" spans="1:5" ht="23.1" customHeight="1">
      <c r="A586" s="1" t="s">
        <v>33</v>
      </c>
      <c r="B586" s="1">
        <v>2018</v>
      </c>
      <c r="C586" s="1">
        <v>9</v>
      </c>
      <c r="D586" s="3">
        <v>352820</v>
      </c>
      <c r="E586" s="1">
        <v>299</v>
      </c>
    </row>
    <row r="587" spans="1:5" ht="23.1" customHeight="1">
      <c r="A587" s="1" t="s">
        <v>33</v>
      </c>
      <c r="B587" s="1">
        <v>2018</v>
      </c>
      <c r="C587" s="1">
        <v>10</v>
      </c>
      <c r="D587" s="3">
        <v>307684</v>
      </c>
      <c r="E587" s="1">
        <v>244</v>
      </c>
    </row>
    <row r="588" spans="1:5" ht="23.1" customHeight="1">
      <c r="A588" s="1" t="s">
        <v>33</v>
      </c>
      <c r="B588" s="1">
        <v>2018</v>
      </c>
      <c r="C588" s="1">
        <v>11</v>
      </c>
      <c r="D588" s="3">
        <v>273680</v>
      </c>
      <c r="E588" s="1">
        <v>220</v>
      </c>
    </row>
    <row r="589" spans="1:5" ht="23.1" customHeight="1">
      <c r="A589" s="1" t="s">
        <v>33</v>
      </c>
      <c r="B589" s="1">
        <v>2018</v>
      </c>
      <c r="C589" s="1">
        <v>12</v>
      </c>
      <c r="D589" s="3">
        <v>158210</v>
      </c>
      <c r="E589" s="1">
        <v>130</v>
      </c>
    </row>
    <row r="590" spans="1:5" ht="23.1" customHeight="1">
      <c r="A590" s="1" t="s">
        <v>33</v>
      </c>
      <c r="B590" s="1">
        <v>2019</v>
      </c>
      <c r="C590" s="1">
        <v>1</v>
      </c>
      <c r="D590" s="3">
        <v>131452</v>
      </c>
      <c r="E590" s="1">
        <v>118</v>
      </c>
    </row>
    <row r="591" spans="1:5" ht="23.1" customHeight="1">
      <c r="A591" s="1" t="s">
        <v>33</v>
      </c>
      <c r="B591" s="1">
        <v>2019</v>
      </c>
      <c r="C591" s="1">
        <v>2</v>
      </c>
      <c r="D591" s="3">
        <v>194535</v>
      </c>
      <c r="E591" s="1">
        <v>131</v>
      </c>
    </row>
    <row r="592" spans="1:5" ht="23.1" customHeight="1">
      <c r="A592" s="1" t="s">
        <v>33</v>
      </c>
      <c r="B592" s="1">
        <v>2019</v>
      </c>
      <c r="C592" s="1">
        <v>3</v>
      </c>
      <c r="D592" s="3">
        <v>405539</v>
      </c>
      <c r="E592" s="1">
        <v>283</v>
      </c>
    </row>
    <row r="593" spans="1:5" ht="23.1" customHeight="1">
      <c r="A593" s="1" t="s">
        <v>33</v>
      </c>
      <c r="B593" s="1">
        <v>2019</v>
      </c>
      <c r="C593" s="1">
        <v>4</v>
      </c>
      <c r="D593" s="3">
        <v>258660</v>
      </c>
      <c r="E593" s="1">
        <v>120</v>
      </c>
    </row>
    <row r="594" spans="1:5" ht="23.1" customHeight="1">
      <c r="A594" s="1" t="s">
        <v>33</v>
      </c>
      <c r="B594" s="1">
        <v>2019</v>
      </c>
      <c r="C594" s="1">
        <v>5</v>
      </c>
      <c r="D594" s="3">
        <v>452466</v>
      </c>
      <c r="E594" s="1">
        <v>228</v>
      </c>
    </row>
    <row r="595" spans="1:5" ht="23.1" customHeight="1">
      <c r="A595" s="1" t="s">
        <v>33</v>
      </c>
      <c r="B595" s="1">
        <v>2019</v>
      </c>
      <c r="C595" s="1">
        <v>6</v>
      </c>
      <c r="D595" s="3">
        <v>265374</v>
      </c>
      <c r="E595" s="1">
        <v>138</v>
      </c>
    </row>
    <row r="596" spans="1:5" ht="23.1" customHeight="1">
      <c r="A596" s="1" t="s">
        <v>33</v>
      </c>
      <c r="B596" s="1">
        <v>2019</v>
      </c>
      <c r="C596" s="1">
        <v>7</v>
      </c>
      <c r="D596" s="3">
        <v>395010</v>
      </c>
      <c r="E596" s="1">
        <v>308</v>
      </c>
    </row>
    <row r="597" spans="1:5" ht="23.1" customHeight="1">
      <c r="A597" s="1" t="s">
        <v>33</v>
      </c>
      <c r="B597" s="1">
        <v>2019</v>
      </c>
      <c r="C597" s="1">
        <v>8</v>
      </c>
      <c r="D597" s="3">
        <v>463608</v>
      </c>
      <c r="E597" s="1">
        <v>282</v>
      </c>
    </row>
    <row r="598" spans="1:5" ht="23.1" customHeight="1">
      <c r="A598" s="1" t="s">
        <v>33</v>
      </c>
      <c r="B598" s="1">
        <v>2019</v>
      </c>
      <c r="C598" s="1">
        <v>9</v>
      </c>
      <c r="D598" s="3">
        <v>534540</v>
      </c>
      <c r="E598" s="1">
        <v>302</v>
      </c>
    </row>
    <row r="599" spans="1:5" ht="23.1" customHeight="1">
      <c r="A599" s="1" t="s">
        <v>33</v>
      </c>
      <c r="B599" s="1">
        <v>2019</v>
      </c>
      <c r="C599" s="1">
        <v>10</v>
      </c>
      <c r="D599" s="3">
        <v>465309</v>
      </c>
      <c r="E599" s="1">
        <v>246</v>
      </c>
    </row>
    <row r="600" spans="1:5" ht="23.1" customHeight="1">
      <c r="A600" s="1" t="s">
        <v>33</v>
      </c>
      <c r="B600" s="1">
        <v>2019</v>
      </c>
      <c r="C600" s="1">
        <v>11</v>
      </c>
      <c r="D600" s="3">
        <v>412386</v>
      </c>
      <c r="E600" s="1">
        <v>221</v>
      </c>
    </row>
    <row r="601" spans="1:5" ht="23.1" customHeight="1">
      <c r="A601" s="1" t="s">
        <v>33</v>
      </c>
      <c r="B601" s="1">
        <v>2019</v>
      </c>
      <c r="C601" s="1">
        <v>12</v>
      </c>
      <c r="D601" s="3">
        <v>240966</v>
      </c>
      <c r="E601" s="1">
        <v>132</v>
      </c>
    </row>
    <row r="602" spans="1:5" ht="23.1" customHeight="1">
      <c r="A602" s="1" t="s">
        <v>35</v>
      </c>
      <c r="B602" s="1">
        <v>2018</v>
      </c>
      <c r="C602" s="1">
        <v>1</v>
      </c>
      <c r="D602" s="3">
        <v>120900</v>
      </c>
      <c r="E602" s="1">
        <v>150</v>
      </c>
    </row>
    <row r="603" spans="1:5" ht="23.1" customHeight="1">
      <c r="A603" s="1" t="s">
        <v>35</v>
      </c>
      <c r="B603" s="1">
        <v>2018</v>
      </c>
      <c r="C603" s="1">
        <v>2</v>
      </c>
      <c r="D603" s="3">
        <v>245110</v>
      </c>
      <c r="E603" s="1">
        <v>254</v>
      </c>
    </row>
    <row r="604" spans="1:5" ht="23.1" customHeight="1">
      <c r="A604" s="1" t="s">
        <v>35</v>
      </c>
      <c r="B604" s="1">
        <v>2018</v>
      </c>
      <c r="C604" s="1">
        <v>3</v>
      </c>
      <c r="D604" s="3">
        <v>133340</v>
      </c>
      <c r="E604" s="1">
        <v>113</v>
      </c>
    </row>
    <row r="605" spans="1:5" ht="23.1" customHeight="1">
      <c r="A605" s="1" t="s">
        <v>35</v>
      </c>
      <c r="B605" s="1">
        <v>2018</v>
      </c>
      <c r="C605" s="1">
        <v>4</v>
      </c>
      <c r="D605" s="3">
        <v>171606</v>
      </c>
      <c r="E605" s="1">
        <v>222</v>
      </c>
    </row>
    <row r="606" spans="1:5" ht="23.1" customHeight="1">
      <c r="A606" s="1" t="s">
        <v>35</v>
      </c>
      <c r="B606" s="1">
        <v>2018</v>
      </c>
      <c r="C606" s="1">
        <v>5</v>
      </c>
      <c r="D606" s="3">
        <v>159939</v>
      </c>
      <c r="E606" s="1">
        <v>117</v>
      </c>
    </row>
    <row r="607" spans="1:5" ht="23.1" customHeight="1">
      <c r="A607" s="1" t="s">
        <v>35</v>
      </c>
      <c r="B607" s="1">
        <v>2018</v>
      </c>
      <c r="C607" s="1">
        <v>6</v>
      </c>
      <c r="D607" s="3">
        <v>283822</v>
      </c>
      <c r="E607" s="1">
        <v>194</v>
      </c>
    </row>
    <row r="608" spans="1:5" ht="23.1" customHeight="1">
      <c r="A608" s="1" t="s">
        <v>35</v>
      </c>
      <c r="B608" s="1">
        <v>2018</v>
      </c>
      <c r="C608" s="1">
        <v>7</v>
      </c>
      <c r="D608" s="3">
        <v>147168</v>
      </c>
      <c r="E608" s="1">
        <v>146</v>
      </c>
    </row>
    <row r="609" spans="1:5" ht="23.1" customHeight="1">
      <c r="A609" s="1" t="s">
        <v>35</v>
      </c>
      <c r="B609" s="1">
        <v>2018</v>
      </c>
      <c r="C609" s="1">
        <v>8</v>
      </c>
      <c r="D609" s="3">
        <v>236376</v>
      </c>
      <c r="E609" s="1">
        <v>268</v>
      </c>
    </row>
    <row r="610" spans="1:5" ht="23.1" customHeight="1">
      <c r="A610" s="1" t="s">
        <v>35</v>
      </c>
      <c r="B610" s="1">
        <v>2018</v>
      </c>
      <c r="C610" s="1">
        <v>9</v>
      </c>
      <c r="D610" s="3">
        <v>197175</v>
      </c>
      <c r="E610" s="1">
        <v>239</v>
      </c>
    </row>
    <row r="611" spans="1:5" ht="23.1" customHeight="1">
      <c r="A611" s="1" t="s">
        <v>35</v>
      </c>
      <c r="B611" s="1">
        <v>2018</v>
      </c>
      <c r="C611" s="1">
        <v>10</v>
      </c>
      <c r="D611" s="3">
        <v>171648</v>
      </c>
      <c r="E611" s="1">
        <v>192</v>
      </c>
    </row>
    <row r="612" spans="1:5" ht="23.1" customHeight="1">
      <c r="A612" s="1" t="s">
        <v>35</v>
      </c>
      <c r="B612" s="1">
        <v>2018</v>
      </c>
      <c r="C612" s="1">
        <v>11</v>
      </c>
      <c r="D612" s="3">
        <v>382382</v>
      </c>
      <c r="E612" s="1">
        <v>286</v>
      </c>
    </row>
    <row r="613" spans="1:5" ht="23.1" customHeight="1">
      <c r="A613" s="1" t="s">
        <v>35</v>
      </c>
      <c r="B613" s="1">
        <v>2018</v>
      </c>
      <c r="C613" s="1">
        <v>12</v>
      </c>
      <c r="D613" s="3">
        <v>104749</v>
      </c>
      <c r="E613" s="1">
        <v>109</v>
      </c>
    </row>
    <row r="614" spans="1:5" ht="23.1" customHeight="1">
      <c r="A614" s="1" t="s">
        <v>35</v>
      </c>
      <c r="B614" s="1">
        <v>2019</v>
      </c>
      <c r="C614" s="1">
        <v>1</v>
      </c>
      <c r="D614" s="3">
        <v>130781</v>
      </c>
      <c r="E614" s="1">
        <v>157</v>
      </c>
    </row>
    <row r="615" spans="1:5" ht="23.1" customHeight="1">
      <c r="A615" s="1" t="s">
        <v>35</v>
      </c>
      <c r="B615" s="1">
        <v>2019</v>
      </c>
      <c r="C615" s="1">
        <v>2</v>
      </c>
      <c r="D615" s="3">
        <v>263074</v>
      </c>
      <c r="E615" s="1">
        <v>266</v>
      </c>
    </row>
    <row r="616" spans="1:5" ht="23.1" customHeight="1">
      <c r="A616" s="1" t="s">
        <v>35</v>
      </c>
      <c r="B616" s="1">
        <v>2019</v>
      </c>
      <c r="C616" s="1">
        <v>3</v>
      </c>
      <c r="D616" s="3">
        <v>142448</v>
      </c>
      <c r="E616" s="1">
        <v>116</v>
      </c>
    </row>
    <row r="617" spans="1:5" ht="23.1" customHeight="1">
      <c r="A617" s="1" t="s">
        <v>35</v>
      </c>
      <c r="B617" s="1">
        <v>2019</v>
      </c>
      <c r="C617" s="1">
        <v>4</v>
      </c>
      <c r="D617" s="3">
        <v>262047</v>
      </c>
      <c r="E617" s="1">
        <v>226</v>
      </c>
    </row>
    <row r="618" spans="1:5" ht="23.1" customHeight="1">
      <c r="A618" s="1" t="s">
        <v>35</v>
      </c>
      <c r="B618" s="1">
        <v>2019</v>
      </c>
      <c r="C618" s="1">
        <v>5</v>
      </c>
      <c r="D618" s="3">
        <v>248110.5</v>
      </c>
      <c r="E618" s="1">
        <v>121</v>
      </c>
    </row>
    <row r="619" spans="1:5" ht="23.1" customHeight="1">
      <c r="A619" s="1" t="s">
        <v>35</v>
      </c>
      <c r="B619" s="1">
        <v>2019</v>
      </c>
      <c r="C619" s="1">
        <v>6</v>
      </c>
      <c r="D619" s="3">
        <v>425733</v>
      </c>
      <c r="E619" s="1">
        <v>194</v>
      </c>
    </row>
    <row r="620" spans="1:5" ht="23.1" customHeight="1">
      <c r="A620" s="1" t="s">
        <v>35</v>
      </c>
      <c r="B620" s="1">
        <v>2019</v>
      </c>
      <c r="C620" s="1">
        <v>7</v>
      </c>
      <c r="D620" s="3">
        <v>231336</v>
      </c>
      <c r="E620" s="1">
        <v>153</v>
      </c>
    </row>
    <row r="621" spans="1:5" ht="23.1" customHeight="1">
      <c r="A621" s="1" t="s">
        <v>35</v>
      </c>
      <c r="B621" s="1">
        <v>2019</v>
      </c>
      <c r="C621" s="1">
        <v>8</v>
      </c>
      <c r="D621" s="3">
        <v>362502</v>
      </c>
      <c r="E621" s="1">
        <v>274</v>
      </c>
    </row>
    <row r="622" spans="1:5" ht="23.1" customHeight="1">
      <c r="A622" s="1" t="s">
        <v>35</v>
      </c>
      <c r="B622" s="1">
        <v>2019</v>
      </c>
      <c r="C622" s="1">
        <v>9</v>
      </c>
      <c r="D622" s="3">
        <v>306900</v>
      </c>
      <c r="E622" s="1">
        <v>248</v>
      </c>
    </row>
    <row r="623" spans="1:5" ht="23.1" customHeight="1">
      <c r="A623" s="1" t="s">
        <v>35</v>
      </c>
      <c r="B623" s="1">
        <v>2019</v>
      </c>
      <c r="C623" s="1">
        <v>10</v>
      </c>
      <c r="D623" s="3">
        <v>268200</v>
      </c>
      <c r="E623" s="1">
        <v>200</v>
      </c>
    </row>
    <row r="624" spans="1:5" ht="23.1" customHeight="1">
      <c r="A624" s="1" t="s">
        <v>35</v>
      </c>
      <c r="B624" s="1">
        <v>2019</v>
      </c>
      <c r="C624" s="1">
        <v>11</v>
      </c>
      <c r="D624" s="3">
        <v>595634</v>
      </c>
      <c r="E624" s="1">
        <v>297</v>
      </c>
    </row>
    <row r="625" spans="1:5" ht="23.1" customHeight="1">
      <c r="A625" s="1" t="s">
        <v>35</v>
      </c>
      <c r="B625" s="1">
        <v>2019</v>
      </c>
      <c r="C625" s="1">
        <v>12</v>
      </c>
      <c r="D625" s="3">
        <v>157123.5</v>
      </c>
      <c r="E625" s="1">
        <v>109</v>
      </c>
    </row>
    <row r="626" spans="1:5" ht="23.1" customHeight="1">
      <c r="A626" s="1" t="s">
        <v>34</v>
      </c>
      <c r="B626" s="1">
        <v>2018</v>
      </c>
      <c r="C626" s="1">
        <v>1</v>
      </c>
      <c r="D626" s="3">
        <v>240470</v>
      </c>
      <c r="E626" s="1">
        <v>173</v>
      </c>
    </row>
    <row r="627" spans="1:5" ht="23.1" customHeight="1">
      <c r="A627" s="1" t="s">
        <v>34</v>
      </c>
      <c r="B627" s="1">
        <v>2018</v>
      </c>
      <c r="C627" s="1">
        <v>2</v>
      </c>
      <c r="D627" s="3">
        <v>289140</v>
      </c>
      <c r="E627" s="1">
        <v>244</v>
      </c>
    </row>
    <row r="628" spans="1:5" ht="23.1" customHeight="1">
      <c r="A628" s="1" t="s">
        <v>34</v>
      </c>
      <c r="B628" s="1">
        <v>2018</v>
      </c>
      <c r="C628" s="1">
        <v>3</v>
      </c>
      <c r="D628" s="3">
        <v>221548</v>
      </c>
      <c r="E628" s="1">
        <v>194</v>
      </c>
    </row>
    <row r="629" spans="1:5" ht="23.1" customHeight="1">
      <c r="A629" s="1" t="s">
        <v>34</v>
      </c>
      <c r="B629" s="1">
        <v>2018</v>
      </c>
      <c r="C629" s="1">
        <v>4</v>
      </c>
      <c r="D629" s="3">
        <v>206934</v>
      </c>
      <c r="E629" s="1">
        <v>182</v>
      </c>
    </row>
    <row r="630" spans="1:5" ht="23.1" customHeight="1">
      <c r="A630" s="1" t="s">
        <v>34</v>
      </c>
      <c r="B630" s="1">
        <v>2018</v>
      </c>
      <c r="C630" s="1">
        <v>5</v>
      </c>
      <c r="D630" s="3">
        <v>318330</v>
      </c>
      <c r="E630" s="1">
        <v>270</v>
      </c>
    </row>
    <row r="631" spans="1:5" ht="23.1" customHeight="1">
      <c r="A631" s="1" t="s">
        <v>34</v>
      </c>
      <c r="B631" s="1">
        <v>2018</v>
      </c>
      <c r="C631" s="1">
        <v>6</v>
      </c>
      <c r="D631" s="3">
        <v>440448</v>
      </c>
      <c r="E631" s="1">
        <v>296</v>
      </c>
    </row>
    <row r="632" spans="1:5" ht="23.1" customHeight="1">
      <c r="A632" s="1" t="s">
        <v>34</v>
      </c>
      <c r="B632" s="1">
        <v>2018</v>
      </c>
      <c r="C632" s="1">
        <v>7</v>
      </c>
      <c r="D632" s="3">
        <v>218622</v>
      </c>
      <c r="E632" s="1">
        <v>166</v>
      </c>
    </row>
    <row r="633" spans="1:5" ht="23.1" customHeight="1">
      <c r="A633" s="1" t="s">
        <v>34</v>
      </c>
      <c r="B633" s="1">
        <v>2018</v>
      </c>
      <c r="C633" s="1">
        <v>8</v>
      </c>
      <c r="D633" s="3">
        <v>190190</v>
      </c>
      <c r="E633" s="1">
        <v>143</v>
      </c>
    </row>
    <row r="634" spans="1:5" ht="23.1" customHeight="1">
      <c r="A634" s="1" t="s">
        <v>34</v>
      </c>
      <c r="B634" s="1">
        <v>2018</v>
      </c>
      <c r="C634" s="1">
        <v>9</v>
      </c>
      <c r="D634" s="3">
        <v>256336</v>
      </c>
      <c r="E634" s="1">
        <v>296</v>
      </c>
    </row>
    <row r="635" spans="1:5" ht="23.1" customHeight="1">
      <c r="A635" s="1" t="s">
        <v>34</v>
      </c>
      <c r="B635" s="1">
        <v>2018</v>
      </c>
      <c r="C635" s="1">
        <v>10</v>
      </c>
      <c r="D635" s="3">
        <v>213150</v>
      </c>
      <c r="E635" s="1">
        <v>203</v>
      </c>
    </row>
    <row r="636" spans="1:5" ht="23.1" customHeight="1">
      <c r="A636" s="1" t="s">
        <v>34</v>
      </c>
      <c r="B636" s="1">
        <v>2018</v>
      </c>
      <c r="C636" s="1">
        <v>11</v>
      </c>
      <c r="D636" s="3">
        <v>218862</v>
      </c>
      <c r="E636" s="1">
        <v>162</v>
      </c>
    </row>
    <row r="637" spans="1:5" ht="23.1" customHeight="1">
      <c r="A637" s="1" t="s">
        <v>34</v>
      </c>
      <c r="B637" s="1">
        <v>2018</v>
      </c>
      <c r="C637" s="1">
        <v>12</v>
      </c>
      <c r="D637" s="3">
        <v>103224</v>
      </c>
      <c r="E637" s="1">
        <v>132</v>
      </c>
    </row>
    <row r="638" spans="1:5" ht="23.1" customHeight="1">
      <c r="A638" s="1" t="s">
        <v>34</v>
      </c>
      <c r="B638" s="1">
        <v>2019</v>
      </c>
      <c r="C638" s="1">
        <v>1</v>
      </c>
      <c r="D638" s="3">
        <v>254667</v>
      </c>
      <c r="E638" s="1">
        <v>181</v>
      </c>
    </row>
    <row r="639" spans="1:5" ht="23.1" customHeight="1">
      <c r="A639" s="1" t="s">
        <v>34</v>
      </c>
      <c r="B639" s="1">
        <v>2019</v>
      </c>
      <c r="C639" s="1">
        <v>2</v>
      </c>
      <c r="D639" s="3">
        <v>313140</v>
      </c>
      <c r="E639" s="1">
        <v>255</v>
      </c>
    </row>
    <row r="640" spans="1:5" ht="23.1" customHeight="1">
      <c r="A640" s="1" t="s">
        <v>34</v>
      </c>
      <c r="B640" s="1">
        <v>2019</v>
      </c>
      <c r="C640" s="1">
        <v>3</v>
      </c>
      <c r="D640" s="3">
        <v>237783</v>
      </c>
      <c r="E640" s="1">
        <v>201</v>
      </c>
    </row>
    <row r="641" spans="1:5" ht="23.1" customHeight="1">
      <c r="A641" s="1" t="s">
        <v>34</v>
      </c>
      <c r="B641" s="1">
        <v>2019</v>
      </c>
      <c r="C641" s="1">
        <v>4</v>
      </c>
      <c r="D641" s="3">
        <v>320634</v>
      </c>
      <c r="E641" s="1">
        <v>188</v>
      </c>
    </row>
    <row r="642" spans="1:5" ht="23.1" customHeight="1">
      <c r="A642" s="1" t="s">
        <v>34</v>
      </c>
      <c r="B642" s="1">
        <v>2019</v>
      </c>
      <c r="C642" s="1">
        <v>5</v>
      </c>
      <c r="D642" s="3">
        <v>479263.5</v>
      </c>
      <c r="E642" s="1">
        <v>271</v>
      </c>
    </row>
    <row r="643" spans="1:5" ht="23.1" customHeight="1">
      <c r="A643" s="1" t="s">
        <v>34</v>
      </c>
      <c r="B643" s="1">
        <v>2019</v>
      </c>
      <c r="C643" s="1">
        <v>6</v>
      </c>
      <c r="D643" s="3">
        <v>665136</v>
      </c>
      <c r="E643" s="1">
        <v>298</v>
      </c>
    </row>
    <row r="644" spans="1:5" ht="23.1" customHeight="1">
      <c r="A644" s="1" t="s">
        <v>34</v>
      </c>
      <c r="B644" s="1">
        <v>2019</v>
      </c>
      <c r="C644" s="1">
        <v>7</v>
      </c>
      <c r="D644" s="3">
        <v>341761.5</v>
      </c>
      <c r="E644" s="1">
        <v>173</v>
      </c>
    </row>
    <row r="645" spans="1:5" ht="23.1" customHeight="1">
      <c r="A645" s="1" t="s">
        <v>34</v>
      </c>
      <c r="B645" s="1">
        <v>2019</v>
      </c>
      <c r="C645" s="1">
        <v>8</v>
      </c>
      <c r="D645" s="3">
        <v>291270</v>
      </c>
      <c r="E645" s="1">
        <v>146</v>
      </c>
    </row>
    <row r="646" spans="1:5" ht="23.1" customHeight="1">
      <c r="A646" s="1" t="s">
        <v>34</v>
      </c>
      <c r="B646" s="1">
        <v>2019</v>
      </c>
      <c r="C646" s="1">
        <v>9</v>
      </c>
      <c r="D646" s="3">
        <v>401391</v>
      </c>
      <c r="E646" s="1">
        <v>309</v>
      </c>
    </row>
    <row r="647" spans="1:5" ht="23.1" customHeight="1">
      <c r="A647" s="1" t="s">
        <v>34</v>
      </c>
      <c r="B647" s="1">
        <v>2019</v>
      </c>
      <c r="C647" s="1">
        <v>10</v>
      </c>
      <c r="D647" s="3">
        <v>324450</v>
      </c>
      <c r="E647" s="1">
        <v>206</v>
      </c>
    </row>
    <row r="648" spans="1:5" ht="23.1" customHeight="1">
      <c r="A648" s="1" t="s">
        <v>34</v>
      </c>
      <c r="B648" s="1">
        <v>2019</v>
      </c>
      <c r="C648" s="1">
        <v>11</v>
      </c>
      <c r="D648" s="3">
        <v>328293</v>
      </c>
      <c r="E648" s="1">
        <v>162</v>
      </c>
    </row>
    <row r="649" spans="1:5" ht="23.1" customHeight="1">
      <c r="A649" s="1" t="s">
        <v>34</v>
      </c>
      <c r="B649" s="1">
        <v>2019</v>
      </c>
      <c r="C649" s="1">
        <v>12</v>
      </c>
      <c r="D649" s="3">
        <v>156009</v>
      </c>
      <c r="E649" s="1">
        <v>133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Итоги</vt:lpstr>
      <vt:lpstr>Объекты</vt:lpstr>
      <vt:lpstr>По месяцам</vt:lpstr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Elena</cp:lastModifiedBy>
  <dcterms:modified xsi:type="dcterms:W3CDTF">2026-10-17T15:09:33Z</dcterms:modified>
</cp:coreProperties>
</file>